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02_GIT\202305\2023-05\202305\09_品質管理\"/>
    </mc:Choice>
  </mc:AlternateContent>
  <xr:revisionPtr revIDLastSave="0" documentId="13_ncr:1_{D6E98E22-352A-4EC2-9D55-EEA44208F9E2}" xr6:coauthVersionLast="47" xr6:coauthVersionMax="47" xr10:uidLastSave="{00000000-0000-0000-0000-000000000000}"/>
  <bookViews>
    <workbookView xWindow="-2550" yWindow="-16297" windowWidth="28995" windowHeight="15675" tabRatio="799" firstSheet="1" activeTab="2" xr2:uid="{00000000-000D-0000-FFFF-FFFF00000000}"/>
  </bookViews>
  <sheets>
    <sheet name="統計結果" sheetId="4" state="hidden" r:id="rId1"/>
    <sheet name="分析一覧" sheetId="14" r:id="rId2"/>
    <sheet name="QA管理一覧表" sheetId="3" r:id="rId3"/>
  </sheets>
  <externalReferences>
    <externalReference r:id="rId4"/>
    <externalReference r:id="rId5"/>
    <externalReference r:id="rId6"/>
  </externalReferences>
  <definedNames>
    <definedName name="_xlnm._FilterDatabase" localSheetId="2" hidden="1">QA管理一覧表!$A$3:$X$10</definedName>
    <definedName name="_Order1" hidden="1">255</definedName>
    <definedName name="_xlnm.Print_Area" localSheetId="2">QA管理一覧表!$A$1:$W$10</definedName>
    <definedName name="_xlnm.Print_Area">'[1]2.業務ｼｽﾃﾑ別ｲﾝﾀｰﾌｪｰｽ'!#REF!</definedName>
    <definedName name="_xlnm.Print_Titles" localSheetId="2">QA管理一覧表!$1:$3</definedName>
    <definedName name="_xlnm.Print_Titles">[2]運用設計書原紙!$A$1:$IV$3</definedName>
    <definedName name="QA">QA管理一覧表!$A$3:$V$5</definedName>
    <definedName name="Z_0CA608AB_D6A3_4D8D_A393_46BDDA8FC902_.wvu.FilterData" localSheetId="2" hidden="1">QA管理一覧表!$A$3:$V$3</definedName>
    <definedName name="Z_0E0E067B_FCAF_48F1_BFA8_5DB8BC590788_.wvu.FilterData" localSheetId="2" hidden="1">QA管理一覧表!$A$3:$V$5</definedName>
    <definedName name="Z_16F10120_1703_49F6_8292_B301D1C797AE_.wvu.FilterData" localSheetId="2" hidden="1">QA管理一覧表!$A$3:$V$5</definedName>
    <definedName name="Z_1725E8AD_B682_44D3_A9B4_F3346B035AB8_.wvu.FilterData" localSheetId="2" hidden="1">QA管理一覧表!$A$3:$V$5</definedName>
    <definedName name="Z_179682AD_88A5_48E7_90FE_C00C8657731B_.wvu.FilterData" localSheetId="2" hidden="1">QA管理一覧表!$A$3:$V$5</definedName>
    <definedName name="Z_17B591BF_85EA_4016_ACBE_ACB0B88CE87B_.wvu.FilterData" localSheetId="2" hidden="1">QA管理一覧表!$A$3:$V$3</definedName>
    <definedName name="Z_19350643_97FC_4148_9258_BAA507AB3483_.wvu.FilterData" localSheetId="2" hidden="1">QA管理一覧表!$A$3:$V$3</definedName>
    <definedName name="Z_1C018A6D_9377_4D39_A22D_22247DF9E629_.wvu.FilterData" localSheetId="2" hidden="1">QA管理一覧表!$A$3:$V$5</definedName>
    <definedName name="Z_1C018A6D_9377_4D39_A22D_22247DF9E629_.wvu.PrintTitles" localSheetId="2" hidden="1">QA管理一覧表!$1:$3</definedName>
    <definedName name="Z_1F65444B_8803_40B3_90B7_1E3525C6F78D_.wvu.FilterData" localSheetId="2" hidden="1">QA管理一覧表!$A$3:$V$5</definedName>
    <definedName name="Z_21EEE7ED_80CE_42A9_BD87_DB4288CC1073_.wvu.FilterData" localSheetId="2" hidden="1">QA管理一覧表!$A$3:$V$5</definedName>
    <definedName name="Z_24BE5047_26C1_426E_BE35_4E7DC60F77FA_.wvu.FilterData" localSheetId="2" hidden="1">QA管理一覧表!$A$3:$V$3</definedName>
    <definedName name="Z_2560C05E_E5F9_4A05_9D31_F395ECAEBA33_.wvu.FilterData" localSheetId="2" hidden="1">QA管理一覧表!$A$3:$V$3</definedName>
    <definedName name="Z_2CE6F66E_53C3_4A73_B1A8_18C71351464C_.wvu.FilterData" localSheetId="2" hidden="1">QA管理一覧表!$A$3:$V$5</definedName>
    <definedName name="Z_2CE6F66E_53C3_4A73_B1A8_18C71351464C_.wvu.PrintArea" localSheetId="2" hidden="1">QA管理一覧表!$A$1:$W$10</definedName>
    <definedName name="Z_2CE6F66E_53C3_4A73_B1A8_18C71351464C_.wvu.PrintTitles" localSheetId="2" hidden="1">QA管理一覧表!$1:$3</definedName>
    <definedName name="Z_2F7A26AB_722C_4FB2_9F1A_66A1957ED835_.wvu.FilterData" localSheetId="2" hidden="1">QA管理一覧表!$A$3:$V$5</definedName>
    <definedName name="Z_3321A3A4_C86F_4EBE_9A3F_0F7CB101C8F3_.wvu.FilterData" localSheetId="2" hidden="1">QA管理一覧表!$A$3:$V$3</definedName>
    <definedName name="Z_33736625_93FD_4E18_83F4_9431D180B091_.wvu.FilterData" localSheetId="2" hidden="1">QA管理一覧表!$A$3:$V$3</definedName>
    <definedName name="Z_37C0172F_0214_4F13_8094_0545856787BF_.wvu.FilterData" localSheetId="2" hidden="1">QA管理一覧表!$A$3:$V$5</definedName>
    <definedName name="Z_37C0172F_0214_4F13_8094_0545856787BF_.wvu.PrintArea" localSheetId="2" hidden="1">QA管理一覧表!$A$1:$W$10</definedName>
    <definedName name="Z_37C0172F_0214_4F13_8094_0545856787BF_.wvu.PrintTitles" localSheetId="2" hidden="1">QA管理一覧表!$1:$3</definedName>
    <definedName name="Z_385120E5_634A_4338_BD5A_A6B35132E213_.wvu.FilterData" localSheetId="2" hidden="1">QA管理一覧表!$A$3:$V$3</definedName>
    <definedName name="Z_3DCB5A71_A8F4_4147_B104_6AB75AF2B228_.wvu.FilterData" localSheetId="2" hidden="1">QA管理一覧表!$A$3:$V$5</definedName>
    <definedName name="Z_42A58AE4_39D4_40A2_9708_32B9087A4AB8_.wvu.FilterData" localSheetId="2" hidden="1">QA管理一覧表!$A$3:$V$5</definedName>
    <definedName name="Z_431BC71D_A928_4424_8063_367052496243_.wvu.FilterData" localSheetId="2" hidden="1">QA管理一覧表!$A$3:$V$5</definedName>
    <definedName name="Z_431BC71D_A928_4424_8063_367052496243_.wvu.PrintArea" localSheetId="2" hidden="1">QA管理一覧表!$A$1:$W$10</definedName>
    <definedName name="Z_431BC71D_A928_4424_8063_367052496243_.wvu.PrintTitles" localSheetId="2" hidden="1">QA管理一覧表!$1:$3</definedName>
    <definedName name="Z_4B1203DA_1747_4CB9_BA3F_70007A642326_.wvu.FilterData" localSheetId="2" hidden="1">QA管理一覧表!$A$3:$V$3</definedName>
    <definedName name="Z_4D81BB8C_E3F3_4CF9_B2A3_3E4B928F043B_.wvu.FilterData" localSheetId="2" hidden="1">QA管理一覧表!$A$3:$V$5</definedName>
    <definedName name="Z_4D81BB8C_E3F3_4CF9_B2A3_3E4B928F043B_.wvu.PrintArea" localSheetId="2" hidden="1">QA管理一覧表!$A$1:$W$10</definedName>
    <definedName name="Z_4D81BB8C_E3F3_4CF9_B2A3_3E4B928F043B_.wvu.PrintTitles" localSheetId="2" hidden="1">QA管理一覧表!$1:$3</definedName>
    <definedName name="Z_53C4224F_E4DF_466F_AB85_49E0CF9BF9BD_.wvu.FilterData" localSheetId="2" hidden="1">QA管理一覧表!$A$3:$V$3</definedName>
    <definedName name="Z_54DB0819_34B0_4F28_8663_5F3F02011848_.wvu.FilterData" localSheetId="2" hidden="1">QA管理一覧表!$A$3:$V$3</definedName>
    <definedName name="Z_56B18505_3F08_45A6_BF42_F766C7DD32F8_.wvu.FilterData" localSheetId="2" hidden="1">QA管理一覧表!$A$3:$V$5</definedName>
    <definedName name="Z_57F2B85D_A16E_4F2B_B606_8ED38E30C205_.wvu.FilterData" localSheetId="2" hidden="1">QA管理一覧表!$A$3:$V$5</definedName>
    <definedName name="Z_595CD091_ECE8_433C_9F29_BCFA5069325D_.wvu.FilterData" localSheetId="2" hidden="1">QA管理一覧表!$A$3:$V$5</definedName>
    <definedName name="Z_595CD091_ECE8_433C_9F29_BCFA5069325D_.wvu.PrintTitles" localSheetId="2" hidden="1">QA管理一覧表!$1:$3</definedName>
    <definedName name="Z_5BFFE39F_FE4E_43B4_8E90_62B8F09ECD7E_.wvu.FilterData" localSheetId="2" hidden="1">QA管理一覧表!$A$3:$V$5</definedName>
    <definedName name="Z_5C269FF1_B4E4_4143_8D19_556D1E4FA759_.wvu.FilterData" localSheetId="2" hidden="1">QA管理一覧表!$A$3:$V$3</definedName>
    <definedName name="Z_5E00BD7A_0444_41D3_B168_9E05ABC5CAFD_.wvu.FilterData" localSheetId="2" hidden="1">QA管理一覧表!$A$3:$V$3</definedName>
    <definedName name="Z_5E2924B9_A8E6_4935_BD2A_12A6697A062F_.wvu.FilterData" localSheetId="2" hidden="1">QA管理一覧表!$A$3:$V$5</definedName>
    <definedName name="Z_5EFF93E1_D1A4_45C3_9049_9AAC151329EB_.wvu.FilterData" localSheetId="2" hidden="1">QA管理一覧表!$A$3:$V$5</definedName>
    <definedName name="Z_640CC61C_2DAB_486A_A7CE_C48702CB172D_.wvu.FilterData" localSheetId="2" hidden="1">QA管理一覧表!$A$3:$V$5</definedName>
    <definedName name="Z_645E3300_13D7_409F_B08B_3CE6B39F9519_.wvu.FilterData" localSheetId="2" hidden="1">QA管理一覧表!$A$3:$V$5</definedName>
    <definedName name="Z_66065EF6_6A5C_4DB7_8A93_2EA0410F412D_.wvu.FilterData" localSheetId="2" hidden="1">QA管理一覧表!$A$3:$V$3</definedName>
    <definedName name="Z_6A307672_991F_4905_A40D_9F5760BDC397_.wvu.FilterData" localSheetId="2" hidden="1">QA管理一覧表!$A$3:$V$3</definedName>
    <definedName name="Z_6BBE8C29_A04D_4E90_AB1F_8FBA05FD9A12_.wvu.FilterData" localSheetId="2" hidden="1">QA管理一覧表!$A$3:$V$3</definedName>
    <definedName name="Z_6CC263D8_24F6_4A28_9A40_5CB07A76ED12_.wvu.FilterData" localSheetId="2" hidden="1">QA管理一覧表!$A$3:$V$5</definedName>
    <definedName name="Z_6E817D4E_15F3_4499_A0B8_B65EB55541B7_.wvu.FilterData" localSheetId="2" hidden="1">QA管理一覧表!$A$3:$V$5</definedName>
    <definedName name="Z_6E817D4E_15F3_4499_A0B8_B65EB55541B7_.wvu.PrintArea" localSheetId="2" hidden="1">QA管理一覧表!$A$1:$V$10</definedName>
    <definedName name="Z_75870A36_6D60_4C0B_839D_646E56C1DED6_.wvu.FilterData" localSheetId="2" hidden="1">QA管理一覧表!$A$3:$V$5</definedName>
    <definedName name="Z_75F4512F_070B_4450_89C0_2A6DA651C592_.wvu.FilterData" localSheetId="2" hidden="1">QA管理一覧表!$A$3:$V$3</definedName>
    <definedName name="Z_76B437E7_AF7B_4891_AA7F_A7C083440330_.wvu.FilterData" localSheetId="2" hidden="1">QA管理一覧表!$A$3:$V$3</definedName>
    <definedName name="Z_78D7DF69_005C_44AE_A21D_97B8019D3D13_.wvu.FilterData" localSheetId="2" hidden="1">QA管理一覧表!$A$3:$V$5</definedName>
    <definedName name="Z_7C2C0227_C9E1_47D3_ADE3_EBCBB40169C2_.wvu.FilterData" localSheetId="2" hidden="1">QA管理一覧表!$A$3:$V$5</definedName>
    <definedName name="Z_7DF7940C_3E71_42A7_BAFA_AAAE8F39F6C9_.wvu.FilterData" localSheetId="2" hidden="1">QA管理一覧表!$A$3:$V$3</definedName>
    <definedName name="Z_80B27337_3C81_4A24_9C92_88207222FE51_.wvu.FilterData" localSheetId="2" hidden="1">QA管理一覧表!$A$3:$V$3</definedName>
    <definedName name="Z_816E6825_7BBF_4B0D_B200_A73F0DDB17EF_.wvu.FilterData" localSheetId="2" hidden="1">QA管理一覧表!$A$3:$V$5</definedName>
    <definedName name="Z_826C32C5_7CC2_43D4_9705_F4DC0732A3CA_.wvu.FilterData" localSheetId="2" hidden="1">QA管理一覧表!$A$3:$V$5</definedName>
    <definedName name="Z_8623AE91_276B_47CD_A9BC_FCF5705A2134_.wvu.FilterData" localSheetId="2" hidden="1">QA管理一覧表!$A$3:$V$5</definedName>
    <definedName name="Z_8A24FFB0_132D_48D8_9377_2CE5690770DB_.wvu.FilterData" localSheetId="2" hidden="1">QA管理一覧表!$A$3:$V$3</definedName>
    <definedName name="Z_8CAF88BC_8912_4080_9FB9_F388EB61B653_.wvu.FilterData" localSheetId="2" hidden="1">QA管理一覧表!$A$3:$V$3</definedName>
    <definedName name="Z_8D69C91C_6925_43B5_AB02_2980CB4B743F_.wvu.FilterData" localSheetId="2" hidden="1">QA管理一覧表!$A$3:$V$3</definedName>
    <definedName name="Z_8F77C63D_878B_4D1C_AE96_8F4B8E182285_.wvu.FilterData" localSheetId="2" hidden="1">QA管理一覧表!$A$3:$V$5</definedName>
    <definedName name="Z_9468ED90_0728_4F2F_8893_06582EDECF39_.wvu.FilterData" localSheetId="2" hidden="1">QA管理一覧表!$A$3:$V$3</definedName>
    <definedName name="Z_985BF1BC_FA4C_42EC_81E5_BFA3B5B6FBB2_.wvu.FilterData" localSheetId="2" hidden="1">QA管理一覧表!$A$3:$V$5</definedName>
    <definedName name="Z_98CA705A_0125_46AD_ABA1_277C29BAF03F_.wvu.FilterData" localSheetId="2" hidden="1">QA管理一覧表!$A$3:$V$5</definedName>
    <definedName name="Z_9CAE8AC6_524E_4CBD_AC05_CAD71D74A8CB_.wvu.FilterData" localSheetId="2" hidden="1">QA管理一覧表!$A$3:$V$5</definedName>
    <definedName name="Z_9D729E58_51D3_4C0A_8C17_2DD55797863B_.wvu.FilterData" localSheetId="2" hidden="1">QA管理一覧表!$A$3:$V$3</definedName>
    <definedName name="Z_9EA89D67_8AC7_4A75_8451_6B6A5914C570_.wvu.FilterData" localSheetId="2" hidden="1">QA管理一覧表!$A$3:$V$5</definedName>
    <definedName name="Z_ADFBF95C_D32E_4E7C_AFA1_429D55F0A342_.wvu.FilterData" localSheetId="2" hidden="1">QA管理一覧表!$A$3:$V$3</definedName>
    <definedName name="Z_B0E42FDA_F27A_465A_A998_76FD51F80067_.wvu.FilterData" localSheetId="2" hidden="1">QA管理一覧表!$A$3:$V$3</definedName>
    <definedName name="Z_B22E9D87_5F63_44DE_9938_19080049423E_.wvu.FilterData" localSheetId="2" hidden="1">QA管理一覧表!$A$3:$V$3</definedName>
    <definedName name="Z_B5608D6D_C271_4222_B794_1D4DAC3E0D07_.wvu.FilterData" localSheetId="2" hidden="1">QA管理一覧表!$A$3:$V$5</definedName>
    <definedName name="Z_B618E6A8_00BD_4BD9_8633_533A009682BB_.wvu.FilterData" localSheetId="2" hidden="1">QA管理一覧表!$A$3:$V$3</definedName>
    <definedName name="Z_B6A112D0_7BBC_4256_8BE8_882BBF79B212_.wvu.FilterData" localSheetId="2" hidden="1">QA管理一覧表!$A$3:$V$3</definedName>
    <definedName name="Z_BA8CB603_E53A_460C_93A4_C6FE59F9D760_.wvu.FilterData" localSheetId="2" hidden="1">QA管理一覧表!$A$3:$V$5</definedName>
    <definedName name="Z_BF310017_A1AD_46C6_8303_9D256BBCB14F_.wvu.FilterData" localSheetId="2" hidden="1">QA管理一覧表!$A$3:$V$5</definedName>
    <definedName name="Z_C0AD8062_6F44_41A8_B647_DB215B4C4381_.wvu.FilterData" localSheetId="2" hidden="1">QA管理一覧表!$A$3:$V$5</definedName>
    <definedName name="Z_C15DBF43_1D92_4F54_BEC6_8F3D212F8D99_.wvu.FilterData" localSheetId="2" hidden="1">QA管理一覧表!$A$3:$V$5</definedName>
    <definedName name="Z_C15DBF43_1D92_4F54_BEC6_8F3D212F8D99_.wvu.PrintArea" localSheetId="2" hidden="1">QA管理一覧表!$A$1:$W$10</definedName>
    <definedName name="Z_C15DBF43_1D92_4F54_BEC6_8F3D212F8D99_.wvu.PrintTitles" localSheetId="2" hidden="1">QA管理一覧表!$1:$3</definedName>
    <definedName name="Z_C329D071_A66F_4BEB_9E5E_2ED1265DA3B2_.wvu.FilterData" localSheetId="2" hidden="1">QA管理一覧表!$A$3:$V$5</definedName>
    <definedName name="Z_C576EE63_57B7_404C_AA54_BCCE6EAECEAC_.wvu.FilterData" localSheetId="2" hidden="1">QA管理一覧表!$A$3:$V$5</definedName>
    <definedName name="Z_C576EE63_57B7_404C_AA54_BCCE6EAECEAC_.wvu.PrintArea" localSheetId="2" hidden="1">QA管理一覧表!$A$1:$W$10</definedName>
    <definedName name="Z_C576EE63_57B7_404C_AA54_BCCE6EAECEAC_.wvu.PrintTitles" localSheetId="2" hidden="1">QA管理一覧表!$1:$3</definedName>
    <definedName name="Z_CB6E8A0D_36DB_4DD8_A0B1_4046B3D1C348_.wvu.FilterData" localSheetId="2" hidden="1">QA管理一覧表!$A$3:$V$5</definedName>
    <definedName name="Z_CBDD6FDB_0A6F_484C_AD09_83DDBF4E35CF_.wvu.FilterData" localSheetId="2" hidden="1">QA管理一覧表!$A$3:$V$5</definedName>
    <definedName name="Z_CBDD6FDB_0A6F_484C_AD09_83DDBF4E35CF_.wvu.PrintArea" localSheetId="2" hidden="1">QA管理一覧表!$A$1:$V$5</definedName>
    <definedName name="Z_CEFA04A3_9E17_4DC0_BF67_03CEA10F8239_.wvu.FilterData" localSheetId="2" hidden="1">QA管理一覧表!$A$3:$V$3</definedName>
    <definedName name="Z_D0AF4204_792A_4903_9D9B_387EE8E0FCF4_.wvu.FilterData" localSheetId="2" hidden="1">QA管理一覧表!$A$3:$V$5</definedName>
    <definedName name="Z_D69F293B_C043_4D7C_9DCB_093724D65AAC_.wvu.FilterData" localSheetId="2" hidden="1">QA管理一覧表!$A$3:$V$3</definedName>
    <definedName name="Z_D824648B_CD74_4F51_9695_3BAFAF7E2075_.wvu.FilterData" localSheetId="2" hidden="1">QA管理一覧表!$A$3:$V$5</definedName>
    <definedName name="Z_DF96F606_7FCE_4157_996F_1B95D9A134E3_.wvu.FilterData" localSheetId="2" hidden="1">QA管理一覧表!$A$3:$V$3</definedName>
    <definedName name="Z_E3557D52_BD4C_452C_B1CF_531320DE7FC1_.wvu.FilterData" localSheetId="2" hidden="1">QA管理一覧表!$A$3:$V$5</definedName>
    <definedName name="Z_E578AD38_A6F0_45C5_9308_6D92B3EE6918_.wvu.FilterData" localSheetId="2" hidden="1">QA管理一覧表!$A$3:$V$3</definedName>
    <definedName name="Z_E650BDB7_54CA_41C2_8EF1_FDFD8F8EBEF7_.wvu.FilterData" localSheetId="2" hidden="1">QA管理一覧表!$A$3:$V$5</definedName>
    <definedName name="Z_E6C7BC34_ECCF_4C92_B84B_A795388235AE_.wvu.FilterData" localSheetId="2" hidden="1">QA管理一覧表!$A$3:$V$5</definedName>
    <definedName name="Z_E776EA98_2AC0_49AE_9B1F_30E35C0E0304_.wvu.FilterData" localSheetId="2" hidden="1">QA管理一覧表!$A$3:$V$5</definedName>
    <definedName name="Z_EC8BAA3E_D8FA_4250_8C2E_19FAB44C2BAF_.wvu.FilterData" localSheetId="2" hidden="1">QA管理一覧表!$A$3:$V$3</definedName>
    <definedName name="Z_EF636B3F_0853_4192_B134_A0F9CBCF69DA_.wvu.FilterData" localSheetId="2" hidden="1">QA管理一覧表!$A$3:$V$3</definedName>
    <definedName name="Z_F2CD705A_D7A1_4E49_8A50_4B3770E99C76_.wvu.FilterData" localSheetId="2" hidden="1">QA管理一覧表!$A$3:$V$5</definedName>
    <definedName name="Z_F64FA1C0_E5B8_4C3E_97C6_F440F39DB6AD_.wvu.FilterData" localSheetId="2" hidden="1">QA管理一覧表!$A$3:$V$5</definedName>
    <definedName name="Z_F8DF663B_2164_4716_B962_39EC93A7839C_.wvu.FilterData" localSheetId="2" hidden="1">QA管理一覧表!$A$3:$V$5</definedName>
    <definedName name="Z_F94B58E0_2AD0_4D58_8044_158AC2396238_.wvu.FilterData" localSheetId="2" hidden="1">QA管理一覧表!$A$3:$V$5</definedName>
    <definedName name="Z_FB2256B3_6653_4CC8_8383_406A47E2D3CE_.wvu.FilterData" localSheetId="2" hidden="1">QA管理一覧表!$A$3:$V$5</definedName>
    <definedName name="Z_FB2256B3_6653_4CC8_8383_406A47E2D3CE_.wvu.PrintTitles" localSheetId="2" hidden="1">QA管理一覧表!$1:$3</definedName>
    <definedName name="Z_FBFBF0D8_B2B6_4574_B149_1196DEE6E932_.wvu.FilterData" localSheetId="2" hidden="1">QA管理一覧表!$A$3:$V$5</definedName>
    <definedName name="パス0" localSheetId="0">統計結果!$C$10</definedName>
    <definedName name="パス0">#REF!</definedName>
    <definedName name="パス1" localSheetId="0">統計結果!$C$11</definedName>
    <definedName name="パス1">#REF!</definedName>
    <definedName name="行補正" localSheetId="0">統計結果!$C$12</definedName>
    <definedName name="行補正">#REF!</definedName>
    <definedName name="申請区分">[3]情報シート!$B$14:$B$16</definedName>
  </definedNames>
  <calcPr calcId="191029" fullPrecision="0"/>
  <customWorkbookViews>
    <customWorkbookView name="chenkeyu - 個人用ビュー" guid="{4D81BB8C-E3F3-4CF9-B2A3-3E4B928F043B}" mergeInterval="0" personalView="1" maximized="1" windowWidth="1436" windowHeight="66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TGSD - 個人用ビュー" guid="{5BFFE39F-FE4E-43B4-8E90-62B8F09ECD7E}" mergeInterval="0" personalView="1" maximized="1" windowWidth="1436" windowHeight="728" activeSheetId="3"/>
    <customWorkbookView name="LiuFan - 個人用ビュー" guid="{179682AD-88A5-48E7-90FE-C00C8657731B}" mergeInterval="0" personalView="1" maximized="1" windowWidth="1328" windowHeight="586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0927880　鈴木尚人 - 個人用ビュー" guid="{9CAE8AC6-524E-4CBD-AC05-CAD71D74A8CB}" mergeInterval="0" personalView="1" maximized="1" windowWidth="1180" windowHeight="665" activeSheetId="3"/>
    <customWorkbookView name="paoyan - 個人用ビュー" guid="{E3557D52-BD4C-452C-B1CF-531320DE7FC1}" mergeInterval="0" personalView="1" maximized="1" windowWidth="1020" windowHeight="592" tabRatio="335" activeSheetId="3"/>
    <customWorkbookView name="esmishiguro - 個人用ビュー" guid="{73767BBA-AF8D-4953-9700-AAAB2744F29D}" mergeInterval="0" personalView="1" maximized="1" windowWidth="1300" windowHeight="590" activeSheetId="3"/>
    <customWorkbookView name="paotyan - 個人用ビュー" guid="{BF310017-A1AD-46C6-8303-9D256BBCB14F}" mergeInterval="0" personalView="1" maximized="1" windowWidth="1020" windowHeight="570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Ymashita - 個人用ビュー" guid="{C576EE63-57B7-404C-AA54-BCCE6EAECEAC}" mergeInterval="0" personalView="1" maximized="1" windowWidth="1436" windowHeight="638" tabRatio="4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4" l="1"/>
  <c r="D12" i="14"/>
  <c r="D13" i="14"/>
  <c r="D14" i="14"/>
  <c r="D15" i="14"/>
  <c r="D16" i="14"/>
</calcChain>
</file>

<file path=xl/sharedStrings.xml><?xml version="1.0" encoding="utf-8"?>
<sst xmlns="http://schemas.openxmlformats.org/spreadsheetml/2006/main" count="144" uniqueCount="135">
  <si>
    <t>仕様不明確</t>
    <rPh sb="0" eb="2">
      <t>シヨウ</t>
    </rPh>
    <rPh sb="2" eb="5">
      <t>フメイカク</t>
    </rPh>
    <phoneticPr fontId="2"/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</si>
  <si>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</si>
  <si>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</si>
  <si>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</si>
  <si>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</si>
  <si>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</si>
  <si>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</si>
  <si>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</si>
  <si>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  <phoneticPr fontId="2"/>
  </si>
  <si>
    <t>ドキュメント</t>
    <phoneticPr fontId="2"/>
  </si>
  <si>
    <t>シート</t>
    <phoneticPr fontId="2"/>
  </si>
  <si>
    <t>№</t>
    <phoneticPr fontId="2"/>
  </si>
  <si>
    <t>李国全</t>
    <phoneticPr fontId="2"/>
  </si>
  <si>
    <t>田新科</t>
    <phoneticPr fontId="2"/>
  </si>
  <si>
    <t>田新科</t>
    <phoneticPr fontId="2"/>
  </si>
  <si>
    <t>m_KFT05_0101</t>
    <phoneticPr fontId="2"/>
  </si>
  <si>
    <t>設計書
修正完了
予定日</t>
    <rPh sb="0" eb="2">
      <t>セッケイ</t>
    </rPh>
    <rPh sb="2" eb="3">
      <t>ショ</t>
    </rPh>
    <rPh sb="4" eb="6">
      <t>シュウセイ</t>
    </rPh>
    <rPh sb="6" eb="8">
      <t>カンリョウ</t>
    </rPh>
    <rPh sb="9" eb="11">
      <t>ヨテイ</t>
    </rPh>
    <rPh sb="11" eb="12">
      <t>ヒ</t>
    </rPh>
    <phoneticPr fontId="2"/>
  </si>
  <si>
    <t>回答
確認日</t>
    <rPh sb="0" eb="2">
      <t>カイトウ</t>
    </rPh>
    <rPh sb="3" eb="5">
      <t>カクニン</t>
    </rPh>
    <rPh sb="5" eb="6">
      <t>ビ</t>
    </rPh>
    <phoneticPr fontId="2"/>
  </si>
  <si>
    <t>確認</t>
    <rPh sb="0" eb="2">
      <t>カクニン</t>
    </rPh>
    <phoneticPr fontId="2"/>
  </si>
  <si>
    <t>陳科宇</t>
    <phoneticPr fontId="2"/>
  </si>
  <si>
    <t>徐称</t>
    <phoneticPr fontId="2"/>
  </si>
  <si>
    <t>区分</t>
    <rPh sb="0" eb="2">
      <t>クブン</t>
    </rPh>
    <phoneticPr fontId="2"/>
  </si>
  <si>
    <t>回答</t>
    <rPh sb="0" eb="2">
      <t>カイトウ</t>
    </rPh>
    <phoneticPr fontId="2"/>
  </si>
  <si>
    <t>詳細一覧</t>
    <rPh sb="0" eb="2">
      <t>ショウサイ</t>
    </rPh>
    <rPh sb="2" eb="4">
      <t>イチラン</t>
    </rPh>
    <phoneticPr fontId="2"/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</si>
  <si>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</si>
  <si>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  <phoneticPr fontId="2"/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</si>
  <si>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</si>
  <si>
    <t>m_KFT8o_0101</t>
  </si>
  <si>
    <t>m_KFT13_0101</t>
  </si>
  <si>
    <t>支払通知書作成</t>
  </si>
  <si>
    <t>質問
受領日</t>
    <rPh sb="0" eb="2">
      <t>シツモン</t>
    </rPh>
    <rPh sb="3" eb="5">
      <t>ジュリョウ</t>
    </rPh>
    <rPh sb="5" eb="6">
      <t>ビ</t>
    </rPh>
    <phoneticPr fontId="2"/>
  </si>
  <si>
    <t>設計書
修正日</t>
    <rPh sb="0" eb="2">
      <t>セッケイ</t>
    </rPh>
    <rPh sb="2" eb="3">
      <t>ショ</t>
    </rPh>
    <rPh sb="4" eb="6">
      <t>シュウセイ</t>
    </rPh>
    <rPh sb="6" eb="7">
      <t>ヒ</t>
    </rPh>
    <phoneticPr fontId="2"/>
  </si>
  <si>
    <t>質問原因</t>
    <rPh sb="0" eb="2">
      <t>シツモン</t>
    </rPh>
    <rPh sb="2" eb="4">
      <t>ゲンイン</t>
    </rPh>
    <phoneticPr fontId="2"/>
  </si>
  <si>
    <t>m_KFT8K_0101</t>
  </si>
  <si>
    <t>m_KFT73_0101</t>
  </si>
  <si>
    <t>m_KFT73_0201</t>
  </si>
  <si>
    <t>m_KFT79_0101</t>
  </si>
  <si>
    <t>m_KFT79_0201</t>
  </si>
  <si>
    <t>仕様修正要</t>
    <rPh sb="0" eb="2">
      <t>シヨウ</t>
    </rPh>
    <rPh sb="2" eb="4">
      <t>シュウセイ</t>
    </rPh>
    <rPh sb="4" eb="5">
      <t>ヨウ</t>
    </rPh>
    <phoneticPr fontId="2"/>
  </si>
  <si>
    <t>仕様変更</t>
    <rPh sb="0" eb="2">
      <t>シヨウ</t>
    </rPh>
    <rPh sb="2" eb="4">
      <t>ヘンコウ</t>
    </rPh>
    <phoneticPr fontId="2"/>
  </si>
  <si>
    <t>個数</t>
    <rPh sb="0" eb="2">
      <t>コスウ</t>
    </rPh>
    <phoneticPr fontId="2"/>
  </si>
  <si>
    <t>10、11、12、13</t>
    <phoneticPr fontId="2"/>
  </si>
  <si>
    <t>回答・確認</t>
    <rPh sb="0" eb="2">
      <t>カイトウ</t>
    </rPh>
    <rPh sb="3" eb="5">
      <t>カクニン</t>
    </rPh>
    <phoneticPr fontId="2"/>
  </si>
  <si>
    <t>m_KFT8L_0101</t>
  </si>
  <si>
    <t>m_KFT05_0104</t>
  </si>
  <si>
    <t>李明賽</t>
    <phoneticPr fontId="2"/>
  </si>
  <si>
    <t>韓錦那</t>
    <phoneticPr fontId="2"/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</si>
  <si>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</si>
  <si>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</si>
  <si>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</si>
  <si>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</si>
  <si>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</si>
  <si>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  <rPh sb="0" eb="2">
      <t>カクニン</t>
    </rPh>
    <rPh sb="2" eb="3">
      <t>シャ</t>
    </rPh>
    <phoneticPr fontId="2"/>
  </si>
  <si>
    <t>回答
期限</t>
    <rPh sb="0" eb="2">
      <t>カイトウ</t>
    </rPh>
    <rPh sb="3" eb="5">
      <t>キゲン</t>
    </rPh>
    <phoneticPr fontId="2"/>
  </si>
  <si>
    <t>緊急
度</t>
    <rPh sb="0" eb="2">
      <t>キンキュウ</t>
    </rPh>
    <rPh sb="3" eb="4">
      <t>タビ</t>
    </rPh>
    <phoneticPr fontId="2"/>
  </si>
  <si>
    <t>ＣＤ精算立替情報作成</t>
  </si>
  <si>
    <t>ＣＤ利用精算情報作成</t>
  </si>
  <si>
    <t>ＱＡ起票者記入欄</t>
    <rPh sb="2" eb="4">
      <t>キヒョウ</t>
    </rPh>
    <rPh sb="4" eb="5">
      <t>シャ</t>
    </rPh>
    <rPh sb="5" eb="7">
      <t>キニュウ</t>
    </rPh>
    <rPh sb="7" eb="8">
      <t>ラン</t>
    </rPh>
    <phoneticPr fontId="2"/>
  </si>
  <si>
    <t>アクワイアラ売上情報作成</t>
  </si>
  <si>
    <t>機能名称</t>
    <rPh sb="2" eb="4">
      <t>メイショウ</t>
    </rPh>
    <phoneticPr fontId="2"/>
  </si>
  <si>
    <t>担当者</t>
    <rPh sb="0" eb="3">
      <t>タントウシャ</t>
    </rPh>
    <phoneticPr fontId="2"/>
  </si>
  <si>
    <t>回答者記入欄</t>
    <rPh sb="0" eb="2">
      <t>カイトウ</t>
    </rPh>
    <rPh sb="2" eb="3">
      <t>シャ</t>
    </rPh>
    <rPh sb="3" eb="5">
      <t>キニュウ</t>
    </rPh>
    <rPh sb="5" eb="6">
      <t>ラン</t>
    </rPh>
    <phoneticPr fontId="2"/>
  </si>
  <si>
    <t>保証返済自動仕訳ファイル作成</t>
  </si>
  <si>
    <t>22、23、24、39</t>
    <phoneticPr fontId="2"/>
  </si>
  <si>
    <t>28、29</t>
    <phoneticPr fontId="2"/>
  </si>
  <si>
    <t>16、37</t>
    <phoneticPr fontId="2"/>
  </si>
  <si>
    <t>ｉＤブランド精算情報リスト作成</t>
  </si>
  <si>
    <t>ｉＤブランド精算表作成</t>
  </si>
  <si>
    <t>ＣＤ日次精算データ作成</t>
  </si>
  <si>
    <t>m_KFT18_0101</t>
  </si>
  <si>
    <t>李揚</t>
    <phoneticPr fontId="2"/>
  </si>
  <si>
    <t>銀行保証ローン種別チェックリスト作成</t>
  </si>
  <si>
    <t>団信保険料トラン作成</t>
  </si>
  <si>
    <t>融資金受入自動仕訳作成</t>
  </si>
  <si>
    <t>なし</t>
  </si>
  <si>
    <t>設計書
修正要否</t>
    <rPh sb="0" eb="2">
      <t>セッケイ</t>
    </rPh>
    <rPh sb="2" eb="3">
      <t>ショ</t>
    </rPh>
    <rPh sb="4" eb="6">
      <t>シュウセイ</t>
    </rPh>
    <rPh sb="6" eb="7">
      <t>ヨウ</t>
    </rPh>
    <rPh sb="7" eb="8">
      <t>ヒ</t>
    </rPh>
    <phoneticPr fontId="2"/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</si>
  <si>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</si>
  <si>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</si>
  <si>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</si>
  <si>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</si>
  <si>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  <phoneticPr fontId="2"/>
  </si>
  <si>
    <t>46、52</t>
    <phoneticPr fontId="2"/>
  </si>
  <si>
    <t>53、54、55、56、57</t>
    <phoneticPr fontId="2"/>
  </si>
  <si>
    <t>50、51</t>
    <phoneticPr fontId="2"/>
  </si>
  <si>
    <t>陳科宇</t>
  </si>
  <si>
    <t>作間</t>
  </si>
  <si>
    <t>要</t>
  </si>
  <si>
    <t/>
  </si>
  <si>
    <t>m_KFT05_0106</t>
  </si>
  <si>
    <t>仕様反映状態</t>
    <phoneticPr fontId="2"/>
  </si>
  <si>
    <t>m_KFT04_0101</t>
  </si>
  <si>
    <t>呂炳輝</t>
  </si>
  <si>
    <t>李国全</t>
  </si>
  <si>
    <t>理解不足</t>
    <rPh sb="0" eb="2">
      <t>リカイ</t>
    </rPh>
    <rPh sb="2" eb="4">
      <t>フソク</t>
    </rPh>
    <phoneticPr fontId="2"/>
  </si>
  <si>
    <t>m_KFT19_0101</t>
  </si>
  <si>
    <t>m_KFT30_0101</t>
  </si>
  <si>
    <t>m_KFT31_0101</t>
  </si>
  <si>
    <t>ＭＪ売上精算情報作成</t>
  </si>
  <si>
    <t>回答日</t>
    <rPh sb="0" eb="2">
      <t>カイトウ</t>
    </rPh>
    <rPh sb="2" eb="3">
      <t>ビ</t>
    </rPh>
    <phoneticPr fontId="2"/>
  </si>
  <si>
    <t>KFT180101_マッピング仕様書（ＣＤ日次精算データ作成）.xls</t>
  </si>
  <si>
    <t>25、26、27、30、45</t>
    <phoneticPr fontId="2"/>
  </si>
  <si>
    <t>済</t>
  </si>
  <si>
    <t>処理定義書（マッピング）</t>
  </si>
  <si>
    <t>14、40、41</t>
    <phoneticPr fontId="2"/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</si>
  <si>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</si>
  <si>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</si>
  <si>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</si>
  <si>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</si>
  <si>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</si>
  <si>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</si>
  <si>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</si>
  <si>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  <phoneticPr fontId="2"/>
  </si>
  <si>
    <t>添付
有無</t>
    <rPh sb="0" eb="2">
      <t>テンプ</t>
    </rPh>
    <rPh sb="3" eb="5">
      <t>ウム</t>
    </rPh>
    <phoneticPr fontId="2"/>
  </si>
  <si>
    <t>中</t>
  </si>
  <si>
    <t>合計</t>
    <rPh sb="0" eb="2">
      <t>ゴウケイ</t>
    </rPh>
    <phoneticPr fontId="2"/>
  </si>
  <si>
    <t>資料不備</t>
    <rPh sb="0" eb="2">
      <t>シリョウ</t>
    </rPh>
    <rPh sb="2" eb="4">
      <t>フビ</t>
    </rPh>
    <phoneticPr fontId="2"/>
  </si>
  <si>
    <t>m_KFT05_0102</t>
  </si>
  <si>
    <t>m_KFT05_0103</t>
  </si>
  <si>
    <t>提出</t>
    <rPh sb="0" eb="2">
      <t>テイシュツ</t>
    </rPh>
    <phoneticPr fontId="2"/>
  </si>
  <si>
    <t>m_KFT05_0201</t>
  </si>
  <si>
    <t>機能</t>
    <rPh sb="0" eb="2">
      <t>キノウ</t>
    </rPh>
    <phoneticPr fontId="2"/>
  </si>
  <si>
    <t>備考</t>
    <rPh sb="0" eb="2">
      <t>ビコウ</t>
    </rPh>
    <phoneticPr fontId="2"/>
  </si>
  <si>
    <t>記入者</t>
    <rPh sb="0" eb="2">
      <t>キニュウ</t>
    </rPh>
    <rPh sb="2" eb="3">
      <t>シャ</t>
    </rPh>
    <phoneticPr fontId="2"/>
  </si>
  <si>
    <t>20、21</t>
    <phoneticPr fontId="2"/>
  </si>
  <si>
    <t>回答
予定日</t>
    <rPh sb="0" eb="2">
      <t>カイトウ</t>
    </rPh>
    <rPh sb="3" eb="5">
      <t>ヨテイ</t>
    </rPh>
    <rPh sb="5" eb="6">
      <t>ビ</t>
    </rPh>
    <phoneticPr fontId="2"/>
  </si>
  <si>
    <t>m_KFT83_0101</t>
  </si>
  <si>
    <t>m_KFT88_0101</t>
  </si>
  <si>
    <t>ＣＡＦＩＳ・ＣＤ精算資料（銀行ＣＤ）作成</t>
  </si>
  <si>
    <t>QA・指摘事項</t>
    <rPh sb="3" eb="5">
      <t>シテキ</t>
    </rPh>
    <rPh sb="5" eb="7">
      <t>ジコウ</t>
    </rPh>
    <phoneticPr fontId="2"/>
  </si>
  <si>
    <t>黄龍</t>
    <phoneticPr fontId="2"/>
  </si>
  <si>
    <t>呂炳輝</t>
    <phoneticPr fontId="2"/>
  </si>
  <si>
    <t>回答者</t>
    <rPh sb="0" eb="2">
      <t>カイトウ</t>
    </rPh>
    <rPh sb="2" eb="3">
      <t>シャ</t>
    </rPh>
    <phoneticPr fontId="2"/>
  </si>
  <si>
    <t>状態</t>
    <rPh sb="0" eb="2">
      <t>ジョウタイ</t>
    </rPh>
    <phoneticPr fontId="2"/>
  </si>
  <si>
    <t>記入日</t>
    <rPh sb="0" eb="2">
      <t>キニュウ</t>
    </rPh>
    <rPh sb="2" eb="3">
      <t>ビ</t>
    </rPh>
    <phoneticPr fontId="2"/>
  </si>
  <si>
    <t>1、2、3、4、5、6、31、32、33、34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</si>
</sst>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[Red]\(&quot;$&quot;#,##0\)"/>
    <numFmt numFmtId="177" formatCode="&quot;$&quot;#,##0.00_);[Red]\(&quot;$&quot;#,##0.00\)"/>
    <numFmt numFmtId="178" formatCode="m&quot;月&quot;d&quot;日&quot;;@"/>
    <numFmt numFmtId="179" formatCode="#,##0;\-#,##0;"/>
    <numFmt numFmtId="180" formatCode="m&quot;月&quot;d&quot;日&quot;;;"/>
    <numFmt numFmtId="181" formatCode="m/d\ aaa"/>
    <numFmt numFmtId="182" formatCode="d"/>
    <numFmt numFmtId="183" formatCode="#,##0;\-#,##0;&quot;-&quot;"/>
    <numFmt numFmtId="184" formatCode="_ * #,##0_ ;_ * &quot;¥&quot;&quot;¥&quot;&quot;¥&quot;&quot;¥&quot;&quot;¥&quot;&quot;¥&quot;\-#,##0_ ;_ * &quot;-&quot;_ ;_ @_ "/>
    <numFmt numFmtId="185" formatCode="d\.m\.yy"/>
    <numFmt numFmtId="186" formatCode="d\.mmm"/>
    <numFmt numFmtId="187" formatCode="&quot;$&quot;#,##0.0_);\(&quot;$&quot;#,##0.0\)"/>
    <numFmt numFmtId="188" formatCode="#,##0.00&quot; F&quot;_);\(#,##0.00&quot; F&quot;\)"/>
    <numFmt numFmtId="189" formatCode="#,##0&quot; $&quot;;\-#,##0&quot; $&quot;"/>
    <numFmt numFmtId="190" formatCode="yy/m/d"/>
    <numFmt numFmtId="191" formatCode="#,##0&quot; &quot;;[Red]&quot;▲&quot;#,##0&quot; &quot;"/>
    <numFmt numFmtId="192" formatCode="#,##0_ "/>
    <numFmt numFmtId="193" formatCode="&quot;¥&quot;#,##0.00;[Red]\-&quot;¥&quot;#,##0.00"/>
    <numFmt numFmtId="194" formatCode="&quot;¥&quot;#,##0;[Red]\-&quot;¥&quot;#,##0"/>
  </numFmts>
  <fonts count="2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</fills>
  <borders count="14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61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183" fontId="11" fillId="0" borderId="0" applyFill="0" applyBorder="0" applyAlignment="0"/>
    <xf numFmtId="38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4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185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7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188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90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191" fontId="1" fillId="0" borderId="0" applyFont="0" applyFill="0" applyBorder="0" applyProtection="0">
      <alignment vertical="center"/>
    </xf>
    <xf numFmtId="192" fontId="7" fillId="5" borderId="9">
      <alignment horizontal="right"/>
    </xf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</cellStyleXfs>
  <cellXfs count="50">
    <xf numFmtId="0" fontId="0" fillId="0" borderId="0" xfId="0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78" fontId="5" fillId="4" borderId="5" xfId="6" applyNumberFormat="1" applyFont="1" applyFill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left" vertical="top" wrapText="1"/>
    </xf>
    <xf numFmtId="180" fontId="4" fillId="0" borderId="5" xfId="6" applyNumberFormat="1" applyFont="1" applyBorder="1" applyAlignment="1">
      <alignment horizontal="left" vertical="top" wrapText="1"/>
    </xf>
    <xf numFmtId="179" fontId="5" fillId="6" borderId="5" xfId="6" applyNumberFormat="1" applyFont="1" applyFill="1" applyBorder="1" applyAlignment="1">
      <alignment horizontal="center" vertical="center" wrapText="1"/>
    </xf>
    <xf numFmtId="180" fontId="5" fillId="6" borderId="5" xfId="6" applyNumberFormat="1" applyFont="1" applyFill="1" applyBorder="1" applyAlignment="1">
      <alignment horizontal="center" vertical="center" wrapText="1"/>
    </xf>
    <xf numFmtId="179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79" fontId="1" fillId="0" borderId="0" xfId="6" applyNumberFormat="1"/>
    <xf numFmtId="179" fontId="1" fillId="0" borderId="0" xfId="6" applyNumberFormat="1" applyAlignment="1">
      <alignment horizontal="center"/>
    </xf>
    <xf numFmtId="180" fontId="1" fillId="0" borderId="0" xfId="6" applyNumberFormat="1" applyAlignment="1">
      <alignment horizontal="center"/>
    </xf>
    <xf numFmtId="178" fontId="1" fillId="0" borderId="0" xfId="6" applyNumberFormat="1"/>
    <xf numFmtId="0" fontId="1" fillId="0" borderId="0" xfId="6" applyAlignment="1">
      <alignment vertical="top" wrapText="1"/>
    </xf>
    <xf numFmtId="178" fontId="1" fillId="0" borderId="0" xfId="6" applyNumberFormat="1" applyAlignment="1">
      <alignment vertical="top" wrapText="1"/>
    </xf>
    <xf numFmtId="0" fontId="1" fillId="0" borderId="0" xfId="6"/>
    <xf numFmtId="0" fontId="6" fillId="0" borderId="0" xfId="6" applyFont="1"/>
    <xf numFmtId="179" fontId="6" fillId="0" borderId="0" xfId="6" applyNumberFormat="1" applyFont="1"/>
    <xf numFmtId="179" fontId="6" fillId="0" borderId="0" xfId="6" applyNumberFormat="1" applyFont="1" applyAlignment="1">
      <alignment horizontal="center"/>
    </xf>
    <xf numFmtId="180" fontId="6" fillId="0" borderId="0" xfId="6" applyNumberFormat="1" applyFont="1" applyAlignment="1">
      <alignment horizontal="center"/>
    </xf>
    <xf numFmtId="179" fontId="1" fillId="0" borderId="5" xfId="6" applyNumberFormat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57" applyFont="1" applyBorder="1" applyAlignment="1">
      <alignment horizontal="left" vertical="center" wrapText="1"/>
    </xf>
    <xf numFmtId="0" fontId="8" fillId="0" borderId="5" xfId="6" applyFont="1" applyBorder="1"/>
    <xf numFmtId="182" fontId="7" fillId="6" borderId="5" xfId="56" applyNumberFormat="1" applyFont="1" applyFill="1" applyBorder="1" applyAlignment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Border="1"/>
    <xf numFmtId="0" fontId="0" fillId="0" borderId="5" xfId="6" applyFont="1" applyBorder="1" applyAlignment="1">
      <alignment horizontal="left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80" fontId="1" fillId="0" borderId="5" xfId="6" applyNumberFormat="1" applyBorder="1" applyAlignment="1">
      <alignment horizontal="center" vertical="top" wrapText="1"/>
    </xf>
    <xf numFmtId="179" fontId="1" fillId="0" borderId="5" xfId="6" applyNumberFormat="1" applyBorder="1" applyAlignment="1">
      <alignment horizontal="center" vertical="top" wrapText="1"/>
    </xf>
    <xf numFmtId="179" fontId="1" fillId="0" borderId="0" xfId="6" applyNumberFormat="1" applyAlignment="1">
      <alignment horizontal="left"/>
    </xf>
    <xf numFmtId="179" fontId="1" fillId="0" borderId="5" xfId="6" applyNumberFormat="1" applyBorder="1" applyAlignment="1">
      <alignment horizontal="left" vertical="top" wrapText="1"/>
    </xf>
    <xf numFmtId="179" fontId="6" fillId="0" borderId="0" xfId="6" applyNumberFormat="1" applyFont="1" applyAlignment="1">
      <alignment horizontal="left"/>
    </xf>
    <xf numFmtId="0" fontId="0" fillId="0" borderId="5" xfId="1" applyFont="1" applyBorder="1" applyAlignment="1" applyProtection="1"/>
    <xf numFmtId="179" fontId="1" fillId="0" borderId="0" xfId="6" applyNumberFormat="1" applyAlignment="1">
      <alignment vertical="top"/>
    </xf>
    <xf numFmtId="0" fontId="5" fillId="0" borderId="4" xfId="6" applyFont="1" applyBorder="1" applyAlignment="1">
      <alignment vertical="top" wrapText="1"/>
    </xf>
    <xf numFmtId="179" fontId="5" fillId="6" borderId="5" xfId="6" applyNumberFormat="1" applyFont="1" applyFill="1" applyBorder="1" applyAlignment="1">
      <alignment vertical="top" wrapText="1"/>
    </xf>
    <xf numFmtId="179" fontId="6" fillId="0" borderId="0" xfId="6" applyNumberFormat="1" applyFont="1" applyAlignment="1">
      <alignment vertical="top"/>
    </xf>
    <xf numFmtId="0" fontId="0" fillId="7" borderId="5" xfId="1" applyFont="1" applyFill="1" applyBorder="1" applyAlignment="1" applyProtection="1">
      <alignment horizontal="center"/>
    </xf>
  </cellXfs>
  <cellStyles count="61">
    <cellStyle name="%" xfId="1" xr:uid="{00000000-0005-0000-0000-000000000000}"/>
    <cellStyle name="% 2" xfId="2" xr:uid="{00000000-0005-0000-0000-000001000000}"/>
    <cellStyle name="% 3" xfId="3" xr:uid="{00000000-0005-0000-0000-000002000000}"/>
    <cellStyle name="%_QA管理台帳" xfId="4" xr:uid="{00000000-0005-0000-0000-000003000000}"/>
    <cellStyle name="%_sst1852" xfId="5" xr:uid="{00000000-0005-0000-0000-000004000000}"/>
    <cellStyle name="0,0_x000d__x000a_NA_x000d__x000a_" xfId="6" xr:uid="{00000000-0005-0000-0000-000005000000}"/>
    <cellStyle name="121" xfId="7" xr:uid="{00000000-0005-0000-0000-000006000000}"/>
    <cellStyle name="Calc Currency (0)" xfId="8" xr:uid="{00000000-0005-0000-0000-000007000000}"/>
    <cellStyle name="Comma [0]" xfId="9" xr:uid="{00000000-0005-0000-0000-000008000000}"/>
    <cellStyle name="Currency [0]" xfId="10" xr:uid="{00000000-0005-0000-0000-000009000000}"/>
    <cellStyle name="Currency1" xfId="11" xr:uid="{00000000-0005-0000-0000-00000A000000}"/>
    <cellStyle name="entry" xfId="12" xr:uid="{00000000-0005-0000-0000-00000B000000}"/>
    <cellStyle name="Grey" xfId="13" xr:uid="{00000000-0005-0000-0000-00000C000000}"/>
    <cellStyle name="Header1" xfId="14" xr:uid="{00000000-0005-0000-0000-00000D000000}"/>
    <cellStyle name="Header2" xfId="15" xr:uid="{00000000-0005-0000-0000-00000E000000}"/>
    <cellStyle name="IBM(401K)" xfId="16" xr:uid="{00000000-0005-0000-0000-00000F000000}"/>
    <cellStyle name="Input [yellow]" xfId="17" xr:uid="{00000000-0005-0000-0000-000010000000}"/>
    <cellStyle name="J401K" xfId="18" xr:uid="{00000000-0005-0000-0000-000011000000}"/>
    <cellStyle name="Komma [0]_laroux" xfId="19" xr:uid="{00000000-0005-0000-0000-000012000000}"/>
    <cellStyle name="Komma_laroux" xfId="20" xr:uid="{00000000-0005-0000-0000-000013000000}"/>
    <cellStyle name="Milliers [0]_AR1194" xfId="21" xr:uid="{00000000-0005-0000-0000-000014000000}"/>
    <cellStyle name="Milliers_AR1194" xfId="22" xr:uid="{00000000-0005-0000-0000-000015000000}"/>
    <cellStyle name="Mon騁aire [0]_AR1194" xfId="23" xr:uid="{00000000-0005-0000-0000-000016000000}"/>
    <cellStyle name="Mon騁aire_AR1194" xfId="24" xr:uid="{00000000-0005-0000-0000-000017000000}"/>
    <cellStyle name="Normal - Style1" xfId="25" xr:uid="{00000000-0005-0000-0000-000018000000}"/>
    <cellStyle name="Normal_#18-Internet" xfId="26" xr:uid="{00000000-0005-0000-0000-000019000000}"/>
    <cellStyle name="Percent [2]" xfId="27" xr:uid="{00000000-0005-0000-0000-00001A000000}"/>
    <cellStyle name="price" xfId="28" xr:uid="{00000000-0005-0000-0000-00001B000000}"/>
    <cellStyle name="PSChar" xfId="29" xr:uid="{00000000-0005-0000-0000-00001C000000}"/>
    <cellStyle name="PSHeading" xfId="30" xr:uid="{00000000-0005-0000-0000-00001D000000}"/>
    <cellStyle name="revised" xfId="31" xr:uid="{00000000-0005-0000-0000-00001E000000}"/>
    <cellStyle name="section" xfId="32" xr:uid="{00000000-0005-0000-0000-00001F000000}"/>
    <cellStyle name="Standaard_laroux" xfId="33" xr:uid="{00000000-0005-0000-0000-000020000000}"/>
    <cellStyle name="subhead" xfId="34" xr:uid="{00000000-0005-0000-0000-000021000000}"/>
    <cellStyle name="title" xfId="35" xr:uid="{00000000-0005-0000-0000-000022000000}"/>
    <cellStyle name="Valuta [0]_laroux" xfId="36" xr:uid="{00000000-0005-0000-0000-000023000000}"/>
    <cellStyle name="Valuta_laroux" xfId="37" xr:uid="{00000000-0005-0000-0000-000024000000}"/>
    <cellStyle name="ｱﾍﾞﾝﾄﾞ一覧" xfId="38" xr:uid="{00000000-0005-0000-0000-000025000000}"/>
    <cellStyle name="スタイル 1" xfId="39" xr:uid="{00000000-0005-0000-0000-000026000000}"/>
    <cellStyle name="リソース表" xfId="40" xr:uid="{00000000-0005-0000-0000-000027000000}"/>
    <cellStyle name="下点線" xfId="41" xr:uid="{00000000-0005-0000-0000-000028000000}"/>
    <cellStyle name="型番" xfId="42" xr:uid="{00000000-0005-0000-0000-000029000000}"/>
    <cellStyle name="桁蟻唇Ｆ [0.00]_DATA" xfId="43" xr:uid="{00000000-0005-0000-0000-00002A000000}"/>
    <cellStyle name="桁蟻唇Ｆ_DATA" xfId="44" xr:uid="{00000000-0005-0000-0000-00002B000000}"/>
    <cellStyle name="整数値" xfId="45" xr:uid="{00000000-0005-0000-0000-00002C000000}"/>
    <cellStyle name="製品通知価格" xfId="46" xr:uid="{00000000-0005-0000-0000-00002D000000}"/>
    <cellStyle name="脱浦 [0.00]_~0007176" xfId="47" xr:uid="{00000000-0005-0000-0000-00002E000000}"/>
    <cellStyle name="脱浦_~0007176" xfId="48" xr:uid="{00000000-0005-0000-0000-00002F000000}"/>
    <cellStyle name="汎用" xfId="49" xr:uid="{00000000-0005-0000-0000-000030000000}"/>
    <cellStyle name="標準" xfId="0" builtinId="0"/>
    <cellStyle name="標準 2" xfId="50" xr:uid="{00000000-0005-0000-0000-000032000000}"/>
    <cellStyle name="標準 3" xfId="51" xr:uid="{00000000-0005-0000-0000-000033000000}"/>
    <cellStyle name="標準 4" xfId="52" xr:uid="{00000000-0005-0000-0000-000034000000}"/>
    <cellStyle name="標準 5" xfId="53" xr:uid="{00000000-0005-0000-0000-000035000000}"/>
    <cellStyle name="標準 6" xfId="54" xr:uid="{00000000-0005-0000-0000-000036000000}"/>
    <cellStyle name="標準 7" xfId="55" xr:uid="{00000000-0005-0000-0000-000037000000}"/>
    <cellStyle name="標準_ＳＳ工程進捗管理表_ACSF-E003-02 チームスケジュール（ＰＴ工程)（イシュアバッチ）_PH1" xfId="56" xr:uid="{00000000-0005-0000-0000-000038000000}"/>
    <cellStyle name="標準_シェルID一覧" xfId="57" xr:uid="{00000000-0005-0000-0000-000039000000}"/>
    <cellStyle name="未定義" xfId="58" xr:uid="{00000000-0005-0000-0000-00003A000000}"/>
    <cellStyle name="표준_Intec(QJ001350.cob)_Physical" xfId="59" xr:uid="{00000000-0005-0000-0000-00003B000000}"/>
    <cellStyle name="货币_進捗報告資料" xfId="60" xr:uid="{00000000-0005-0000-0000-00003C000000}"/>
  </cellStyles>
  <dxfs count="19"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2409825</xdr:colOff>
          <xdr:row>3</xdr:row>
          <xdr:rowOff>9525</xdr:rowOff>
        </xdr:from>
        <xdr:to>
          <xdr:col>3</xdr:col>
          <xdr:colOff>3152775</xdr:colOff>
          <xdr:row>4</xdr:row>
          <xdr:rowOff>142875</xdr:rowOff>
        </xdr:to>
        <xdr:sp macro="" textlink="">
          <xdr:nvSpPr>
            <xdr:cNvPr id="3073" name="btnGe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6</xdr:row>
      <xdr:rowOff>109538</xdr:rowOff>
    </xdr:from>
    <xdr:to>
      <xdr:col>11</xdr:col>
      <xdr:colOff>457200</xdr:colOff>
      <xdr:row>22</xdr:row>
      <xdr:rowOff>100013</xdr:rowOff>
    </xdr:to>
    <xdr:graphicFrame macro="">
      <xdr:nvGraphicFramePr>
        <xdr:cNvPr id="10667" name="Chart 1">
          <a:extLst>
            <a:ext uri="{FF2B5EF4-FFF2-40B4-BE49-F238E27FC236}">
              <a16:creationId xmlns:a16="http://schemas.microsoft.com/office/drawing/2014/main" id="{46B1CE05-017D-1414-1DAE-D86C7C766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&#26032;AXIS&#22522;&#26412;&#35373;&#35336;\&#12487;&#12540;&#12479;&#12501;&#12525;&#12540;\&#12487;&#12540;&#12479;&#23450;&#326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ータ体系"/>
      <sheetName val="1.テーブル項目"/>
      <sheetName val="2.業務ｼｽﾃﾑ別ｲﾝﾀｰﾌｪｰｽ"/>
      <sheetName val="3.収益展開ﾊﾟﾗﾒｰﾀ"/>
      <sheetName val="4.収益ﾌﾛｰ"/>
      <sheetName val="5.契約残高"/>
      <sheetName val="6.付随収益"/>
      <sheetName val="7.再リース残高"/>
      <sheetName val="8.解約残高"/>
      <sheetName val="9.物件残高"/>
      <sheetName val="10.独立物件"/>
      <sheetName val="11.契約残高(ローン)"/>
      <sheetName val="12.組直･組直収益"/>
      <sheetName val="13.当月増減高"/>
      <sheetName val="14.その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26" Type="http://schemas.openxmlformats.org/officeDocument/2006/relationships/printerSettings" Target="../printerSettings/printerSettings27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5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24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23" Type="http://schemas.openxmlformats.org/officeDocument/2006/relationships/printerSettings" Target="../printerSettings/printerSettings24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2.75"/>
  <cols>
    <col min="3" max="3" width="11" bestFit="1" customWidth="1"/>
    <col min="4" max="4" width="45.46484375" bestFit="1" customWidth="1"/>
    <col min="5" max="5" width="10.86328125" customWidth="1"/>
    <col min="6" max="6" width="4.73046875" bestFit="1" customWidth="1"/>
    <col min="7" max="7" width="28.59765625" bestFit="1" customWidth="1"/>
  </cols>
  <sheetData>
    <row r="4" spans="3:7">
      <c r="E4" s="33" t="s">
        <v>118</v>
      </c>
      <c r="F4" s="33">
        <v>57</v>
      </c>
    </row>
    <row r="5" spans="3:7">
      <c r="E5" s="33" t="s">
        <v>22</v>
      </c>
      <c r="F5" s="33">
        <v>7</v>
      </c>
    </row>
    <row r="6" spans="3:7">
      <c r="E6" s="33" t="s">
        <v>18</v>
      </c>
      <c r="F6" s="33">
        <v>7</v>
      </c>
    </row>
    <row r="11" spans="3:7">
      <c r="C11" s="32" t="s">
        <v>80</v>
      </c>
      <c r="D11" s="32" t="s">
        <v>59</v>
      </c>
      <c r="E11" s="32" t="s">
        <v>60</v>
      </c>
      <c r="F11" s="32" t="s">
        <v>40</v>
      </c>
      <c r="G11" s="32" t="s">
        <v>23</v>
      </c>
    </row>
    <row r="12" spans="3:7">
      <c r="C12" s="35" t="s">
        <v>90</v>
      </c>
      <c r="D12" s="28" t="s">
        <v>29</v>
      </c>
      <c r="E12" s="29" t="s">
        <v>20</v>
      </c>
      <c r="F12" s="34">
        <v>4</v>
      </c>
      <c r="G12" s="36" t="s">
        <v>41</v>
      </c>
    </row>
    <row r="13" spans="3:7">
      <c r="C13" s="29" t="s">
        <v>15</v>
      </c>
      <c r="D13" s="29" t="s">
        <v>47</v>
      </c>
      <c r="E13" s="29"/>
      <c r="F13" s="34">
        <v>0</v>
      </c>
      <c r="G13" s="36"/>
    </row>
    <row r="14" spans="3:7" ht="13.15">
      <c r="C14" s="29" t="s">
        <v>116</v>
      </c>
      <c r="D14" s="29" t="s">
        <v>48</v>
      </c>
      <c r="E14" s="31"/>
      <c r="F14" s="34">
        <v>0</v>
      </c>
      <c r="G14" s="36"/>
    </row>
    <row r="15" spans="3:7">
      <c r="C15" s="29" t="s">
        <v>117</v>
      </c>
      <c r="D15" s="29" t="s">
        <v>49</v>
      </c>
      <c r="E15" s="29" t="s">
        <v>13</v>
      </c>
      <c r="F15" s="34">
        <v>2</v>
      </c>
      <c r="G15" s="36" t="s">
        <v>81</v>
      </c>
    </row>
    <row r="16" spans="3:7">
      <c r="C16" s="29" t="s">
        <v>44</v>
      </c>
      <c r="D16" s="29" t="s">
        <v>29</v>
      </c>
      <c r="E16" s="29"/>
      <c r="F16" s="34">
        <v>0</v>
      </c>
      <c r="G16" s="36"/>
    </row>
    <row r="17" spans="3:7">
      <c r="C17" s="29" t="s">
        <v>110</v>
      </c>
      <c r="D17" s="29" t="s">
        <v>50</v>
      </c>
      <c r="E17" s="29"/>
      <c r="F17" s="34">
        <v>0</v>
      </c>
      <c r="G17" s="36"/>
    </row>
    <row r="18" spans="3:7">
      <c r="C18" s="29" t="s">
        <v>88</v>
      </c>
      <c r="D18" s="29" t="s">
        <v>51</v>
      </c>
      <c r="E18" s="29"/>
      <c r="F18" s="34">
        <v>0</v>
      </c>
      <c r="G18" s="36"/>
    </row>
    <row r="19" spans="3:7">
      <c r="C19" s="29" t="s">
        <v>119</v>
      </c>
      <c r="D19" s="29" t="s">
        <v>5</v>
      </c>
      <c r="E19" s="29"/>
      <c r="F19" s="34">
        <v>0</v>
      </c>
      <c r="G19" s="36"/>
    </row>
    <row r="20" spans="3:7">
      <c r="C20" s="29" t="s">
        <v>6</v>
      </c>
      <c r="D20" s="29" t="s">
        <v>66</v>
      </c>
      <c r="E20" s="29" t="s">
        <v>45</v>
      </c>
      <c r="F20" s="34">
        <v>5</v>
      </c>
      <c r="G20" s="36" t="s">
        <v>82</v>
      </c>
    </row>
    <row r="21" spans="3:7">
      <c r="C21" s="35" t="s">
        <v>7</v>
      </c>
      <c r="D21" s="29" t="s">
        <v>67</v>
      </c>
      <c r="E21" s="29"/>
      <c r="F21" s="34">
        <v>0</v>
      </c>
      <c r="G21" s="36"/>
    </row>
    <row r="22" spans="3:7">
      <c r="C22" s="29" t="s">
        <v>79</v>
      </c>
      <c r="D22" s="29" t="s">
        <v>68</v>
      </c>
      <c r="E22" s="29"/>
      <c r="F22" s="34">
        <v>0</v>
      </c>
      <c r="G22" s="36"/>
    </row>
    <row r="23" spans="3:7">
      <c r="C23" s="29" t="s">
        <v>28</v>
      </c>
      <c r="D23" s="29" t="s">
        <v>56</v>
      </c>
      <c r="E23" s="29" t="s">
        <v>46</v>
      </c>
      <c r="F23" s="34">
        <v>2</v>
      </c>
      <c r="G23" s="36" t="s">
        <v>83</v>
      </c>
    </row>
    <row r="24" spans="3:7">
      <c r="C24" s="35" t="s">
        <v>69</v>
      </c>
      <c r="D24" s="29" t="s">
        <v>127</v>
      </c>
      <c r="E24" s="29" t="s">
        <v>19</v>
      </c>
      <c r="F24" s="34">
        <v>10</v>
      </c>
      <c r="G24" s="36" t="s">
        <v>134</v>
      </c>
    </row>
    <row r="25" spans="3:7">
      <c r="C25" s="35" t="s">
        <v>94</v>
      </c>
      <c r="D25" s="29" t="s">
        <v>55</v>
      </c>
      <c r="E25" s="29"/>
      <c r="F25" s="34">
        <v>0</v>
      </c>
      <c r="G25" s="36"/>
    </row>
    <row r="26" spans="3:7">
      <c r="C26" s="29" t="s">
        <v>95</v>
      </c>
      <c r="D26" s="29" t="s">
        <v>78</v>
      </c>
      <c r="E26" s="29"/>
      <c r="F26" s="34">
        <v>0</v>
      </c>
      <c r="G26" s="36"/>
    </row>
    <row r="27" spans="3:7">
      <c r="C27" s="29" t="s">
        <v>96</v>
      </c>
      <c r="D27" s="29" t="s">
        <v>71</v>
      </c>
      <c r="E27" s="29" t="s">
        <v>70</v>
      </c>
      <c r="F27" s="34">
        <v>4</v>
      </c>
      <c r="G27" s="36" t="s">
        <v>63</v>
      </c>
    </row>
    <row r="28" spans="3:7">
      <c r="C28" s="29" t="s">
        <v>76</v>
      </c>
      <c r="D28" s="29" t="s">
        <v>106</v>
      </c>
      <c r="E28" s="29" t="s">
        <v>25</v>
      </c>
      <c r="F28" s="34">
        <v>3</v>
      </c>
      <c r="G28" s="36" t="s">
        <v>103</v>
      </c>
    </row>
    <row r="29" spans="3:7" ht="13.15">
      <c r="C29" s="35" t="s">
        <v>104</v>
      </c>
      <c r="D29" s="29" t="s">
        <v>107</v>
      </c>
      <c r="E29" s="31"/>
      <c r="F29" s="34">
        <v>0</v>
      </c>
      <c r="G29" s="36"/>
    </row>
    <row r="30" spans="3:7">
      <c r="C30" s="35" t="s">
        <v>105</v>
      </c>
      <c r="D30" s="29" t="s">
        <v>108</v>
      </c>
      <c r="E30" s="29" t="s">
        <v>130</v>
      </c>
      <c r="F30" s="34">
        <v>2</v>
      </c>
      <c r="G30" s="36" t="s">
        <v>64</v>
      </c>
    </row>
    <row r="31" spans="3:7">
      <c r="C31" s="29" t="s">
        <v>34</v>
      </c>
      <c r="D31" s="29" t="s">
        <v>109</v>
      </c>
      <c r="E31" s="29" t="s">
        <v>91</v>
      </c>
      <c r="F31" s="34">
        <v>1</v>
      </c>
      <c r="G31" s="36">
        <v>48</v>
      </c>
    </row>
    <row r="32" spans="3:7">
      <c r="C32" s="29" t="s">
        <v>35</v>
      </c>
      <c r="D32" s="29" t="s">
        <v>72</v>
      </c>
      <c r="E32" s="29" t="s">
        <v>91</v>
      </c>
      <c r="F32" s="34">
        <v>1</v>
      </c>
      <c r="G32" s="36">
        <v>49</v>
      </c>
    </row>
    <row r="33" spans="3:7">
      <c r="C33" s="29" t="s">
        <v>36</v>
      </c>
      <c r="D33" s="29" t="s">
        <v>73</v>
      </c>
      <c r="E33" s="29"/>
      <c r="F33" s="34">
        <v>0</v>
      </c>
      <c r="G33" s="36"/>
    </row>
    <row r="34" spans="3:7">
      <c r="C34" s="29" t="s">
        <v>37</v>
      </c>
      <c r="D34" s="29" t="s">
        <v>1</v>
      </c>
      <c r="E34" s="29"/>
      <c r="F34" s="34">
        <v>0</v>
      </c>
      <c r="G34" s="36"/>
    </row>
    <row r="35" spans="3:7">
      <c r="C35" s="35" t="s">
        <v>125</v>
      </c>
      <c r="D35" s="29" t="s">
        <v>2</v>
      </c>
      <c r="E35" s="29" t="s">
        <v>14</v>
      </c>
      <c r="F35" s="34">
        <v>2</v>
      </c>
      <c r="G35" s="36" t="s">
        <v>65</v>
      </c>
    </row>
    <row r="36" spans="3:7">
      <c r="C36" s="35" t="s">
        <v>77</v>
      </c>
      <c r="D36" s="29" t="s">
        <v>3</v>
      </c>
      <c r="E36" s="29" t="s">
        <v>45</v>
      </c>
      <c r="F36" s="34">
        <v>4</v>
      </c>
      <c r="G36" s="36" t="s">
        <v>111</v>
      </c>
    </row>
    <row r="37" spans="3:7">
      <c r="C37" s="35" t="s">
        <v>126</v>
      </c>
      <c r="D37" s="29" t="s">
        <v>4</v>
      </c>
      <c r="E37" s="29" t="s">
        <v>12</v>
      </c>
      <c r="F37" s="34">
        <v>2</v>
      </c>
      <c r="G37" s="36" t="s">
        <v>123</v>
      </c>
    </row>
    <row r="38" spans="3:7">
      <c r="C38" s="29" t="s">
        <v>33</v>
      </c>
      <c r="D38" s="29" t="s">
        <v>62</v>
      </c>
      <c r="E38" s="29"/>
      <c r="F38" s="34">
        <v>0</v>
      </c>
      <c r="G38" s="36"/>
    </row>
    <row r="39" spans="3:7">
      <c r="C39" s="29" t="s">
        <v>43</v>
      </c>
      <c r="D39" s="29" t="s">
        <v>97</v>
      </c>
      <c r="E39" s="29" t="s">
        <v>92</v>
      </c>
      <c r="F39" s="34">
        <v>1</v>
      </c>
      <c r="G39" s="36">
        <v>44</v>
      </c>
    </row>
    <row r="40" spans="3:7">
      <c r="C40" s="35" t="s">
        <v>27</v>
      </c>
      <c r="D40" s="29" t="s">
        <v>58</v>
      </c>
      <c r="E40" s="29" t="s">
        <v>129</v>
      </c>
      <c r="F40" s="34">
        <v>5</v>
      </c>
      <c r="G40" s="36" t="s">
        <v>100</v>
      </c>
    </row>
    <row r="41" spans="3:7">
      <c r="C41" s="30" t="s">
        <v>114</v>
      </c>
      <c r="D41" s="33"/>
      <c r="E41" s="33"/>
      <c r="F41" s="33"/>
      <c r="G41" s="36"/>
    </row>
  </sheetData>
  <phoneticPr fontId="2"/>
  <conditionalFormatting sqref="C11:G11">
    <cfRule type="expression" dxfId="18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2409825</xdr:colOff>
                <xdr:row>3</xdr:row>
                <xdr:rowOff>9525</xdr:rowOff>
              </from>
              <to>
                <xdr:col>3</xdr:col>
                <xdr:colOff>3152775</xdr:colOff>
                <xdr:row>4</xdr:row>
                <xdr:rowOff>142875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10:D16"/>
  <sheetViews>
    <sheetView workbookViewId="0">
      <selection activeCell="H30" sqref="H30"/>
    </sheetView>
  </sheetViews>
  <sheetFormatPr defaultRowHeight="12.75"/>
  <cols>
    <col min="3" max="3" width="11" bestFit="1" customWidth="1"/>
    <col min="4" max="4" width="5.265625" bestFit="1" customWidth="1"/>
  </cols>
  <sheetData>
    <row r="10" spans="3:4">
      <c r="C10" s="49" t="s">
        <v>21</v>
      </c>
      <c r="D10" s="49" t="s">
        <v>40</v>
      </c>
    </row>
    <row r="11" spans="3:4">
      <c r="C11" s="44" t="s">
        <v>38</v>
      </c>
      <c r="D11" s="44">
        <f>COUNTIF(QA管理一覧表!Q:Q,"要")</f>
        <v>1</v>
      </c>
    </row>
    <row r="12" spans="3:4">
      <c r="C12" s="44" t="s">
        <v>39</v>
      </c>
      <c r="D12" s="44">
        <f>COUNTIF(QA管理一覧表!X:X,分析一覧!C12)</f>
        <v>0</v>
      </c>
    </row>
    <row r="13" spans="3:4">
      <c r="C13" s="44" t="s">
        <v>115</v>
      </c>
      <c r="D13" s="44">
        <f>COUNTIF(QA管理一覧表!X:X,分析一覧!C13)</f>
        <v>0</v>
      </c>
    </row>
    <row r="14" spans="3:4">
      <c r="C14" s="44" t="s">
        <v>0</v>
      </c>
      <c r="D14" s="44">
        <f>COUNTIF(QA管理一覧表!X:X,分析一覧!C14)</f>
        <v>0</v>
      </c>
    </row>
    <row r="15" spans="3:4">
      <c r="C15" s="44" t="s">
        <v>93</v>
      </c>
      <c r="D15" s="44">
        <f>COUNTIF(QA管理一覧表!X:X,分析一覧!C15)</f>
        <v>0</v>
      </c>
    </row>
    <row r="16" spans="3:4">
      <c r="C16" s="44" t="s">
        <v>114</v>
      </c>
      <c r="D16" s="44">
        <f>SUM(D11:D15)</f>
        <v>1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10"/>
  <sheetViews>
    <sheetView tabSelected="1" zoomScale="85" zoomScaleNormal="80" zoomScaleSheetLayoutView="85" workbookViewId="0">
      <pane xSplit="5" ySplit="3" topLeftCell="F4" activePane="bottomRight" state="frozenSplit"/>
      <selection pane="topRight"/>
      <selection pane="bottomLeft"/>
      <selection pane="bottomRight" activeCell="H20" sqref="H20"/>
    </sheetView>
  </sheetViews>
  <sheetFormatPr defaultColWidth="9" defaultRowHeight="12.75"/>
  <cols>
    <col min="1" max="1" width="7.59765625" style="24" customWidth="1"/>
    <col min="2" max="2" width="12.46484375" style="23" customWidth="1"/>
    <col min="3" max="3" width="20" style="23" customWidth="1"/>
    <col min="4" max="4" width="11.1328125" style="23" customWidth="1"/>
    <col min="5" max="5" width="54.1328125" style="15" customWidth="1"/>
    <col min="6" max="6" width="6.86328125" style="48" customWidth="1"/>
    <col min="7" max="7" width="8.46484375" style="25" customWidth="1"/>
    <col min="8" max="8" width="6.73046875" style="43" customWidth="1"/>
    <col min="9" max="9" width="6.3984375" style="43" customWidth="1"/>
    <col min="10" max="10" width="5.73046875" style="24" bestFit="1" customWidth="1"/>
    <col min="11" max="11" width="8.59765625" style="25" customWidth="1"/>
    <col min="12" max="12" width="7.59765625" style="18" customWidth="1"/>
    <col min="13" max="13" width="7.265625" style="18" customWidth="1"/>
    <col min="14" max="14" width="45.3984375" style="19" customWidth="1"/>
    <col min="15" max="15" width="8.265625" style="20" customWidth="1"/>
    <col min="16" max="16" width="8.3984375" style="19" customWidth="1"/>
    <col min="17" max="17" width="9.86328125" style="19" customWidth="1"/>
    <col min="18" max="19" width="8.73046875" style="20" customWidth="1"/>
    <col min="20" max="20" width="8.46484375" style="25" customWidth="1"/>
    <col min="21" max="21" width="5.59765625" style="24" customWidth="1"/>
    <col min="22" max="22" width="12.1328125" style="23" customWidth="1"/>
    <col min="23" max="23" width="17.46484375" style="23" customWidth="1"/>
    <col min="24" max="24" width="11.3984375" style="22" customWidth="1"/>
    <col min="25" max="16384" width="9" style="22"/>
  </cols>
  <sheetData>
    <row r="1" spans="1:24" s="21" customFormat="1" ht="6.75" customHeight="1">
      <c r="A1" s="16"/>
      <c r="B1" s="15"/>
      <c r="C1" s="15"/>
      <c r="D1" s="15"/>
      <c r="E1" s="15"/>
      <c r="F1" s="45"/>
      <c r="G1" s="17"/>
      <c r="H1" s="41"/>
      <c r="I1" s="41"/>
      <c r="J1" s="16"/>
      <c r="K1" s="17"/>
      <c r="L1" s="18"/>
      <c r="M1" s="18"/>
      <c r="N1" s="19"/>
      <c r="O1" s="20"/>
      <c r="P1" s="19"/>
      <c r="Q1" s="19"/>
      <c r="R1" s="20"/>
      <c r="S1" s="20"/>
      <c r="T1" s="17"/>
      <c r="U1" s="16"/>
      <c r="V1" s="15"/>
      <c r="W1" s="15"/>
    </row>
    <row r="2" spans="1:24" ht="29.25" customHeight="1">
      <c r="A2" s="12" t="s">
        <v>57</v>
      </c>
      <c r="B2" s="13"/>
      <c r="C2" s="13"/>
      <c r="D2" s="13"/>
      <c r="E2" s="13"/>
      <c r="F2" s="46"/>
      <c r="G2" s="10"/>
      <c r="H2" s="13"/>
      <c r="I2" s="13"/>
      <c r="J2" s="10"/>
      <c r="K2" s="11"/>
      <c r="L2" s="9" t="s">
        <v>61</v>
      </c>
      <c r="M2" s="10"/>
      <c r="N2" s="10"/>
      <c r="O2" s="10"/>
      <c r="P2" s="10"/>
      <c r="Q2" s="10"/>
      <c r="R2" s="10"/>
      <c r="S2" s="11"/>
      <c r="T2" s="12" t="s">
        <v>8</v>
      </c>
      <c r="U2" s="13"/>
      <c r="V2" s="14"/>
      <c r="W2" s="13"/>
    </row>
    <row r="3" spans="1:24" s="2" customFormat="1" ht="51.75" customHeight="1">
      <c r="A3" s="6" t="s">
        <v>11</v>
      </c>
      <c r="B3" s="6" t="s">
        <v>120</v>
      </c>
      <c r="C3" s="6" t="s">
        <v>9</v>
      </c>
      <c r="D3" s="6" t="s">
        <v>10</v>
      </c>
      <c r="E3" s="6" t="s">
        <v>128</v>
      </c>
      <c r="F3" s="47" t="s">
        <v>112</v>
      </c>
      <c r="G3" s="7" t="s">
        <v>133</v>
      </c>
      <c r="H3" s="6" t="s">
        <v>122</v>
      </c>
      <c r="I3" s="6" t="s">
        <v>52</v>
      </c>
      <c r="J3" s="6" t="s">
        <v>54</v>
      </c>
      <c r="K3" s="7" t="s">
        <v>53</v>
      </c>
      <c r="L3" s="3" t="s">
        <v>30</v>
      </c>
      <c r="M3" s="3" t="s">
        <v>124</v>
      </c>
      <c r="N3" s="1" t="s">
        <v>42</v>
      </c>
      <c r="O3" s="3" t="s">
        <v>98</v>
      </c>
      <c r="P3" s="1" t="s">
        <v>131</v>
      </c>
      <c r="Q3" s="1" t="s">
        <v>75</v>
      </c>
      <c r="R3" s="3" t="s">
        <v>31</v>
      </c>
      <c r="S3" s="3" t="s">
        <v>16</v>
      </c>
      <c r="T3" s="7" t="s">
        <v>17</v>
      </c>
      <c r="U3" s="6" t="s">
        <v>132</v>
      </c>
      <c r="V3" s="8" t="s">
        <v>89</v>
      </c>
      <c r="W3" s="6" t="s">
        <v>121</v>
      </c>
      <c r="X3" s="6" t="s">
        <v>32</v>
      </c>
    </row>
    <row r="4" spans="1:24" s="21" customFormat="1" ht="24" customHeight="1">
      <c r="A4" s="40">
        <v>1</v>
      </c>
      <c r="B4" s="26" t="s">
        <v>69</v>
      </c>
      <c r="C4" s="26" t="s">
        <v>99</v>
      </c>
      <c r="D4" s="26" t="s">
        <v>102</v>
      </c>
      <c r="E4" s="26" t="s">
        <v>26</v>
      </c>
      <c r="F4" s="26" t="s">
        <v>74</v>
      </c>
      <c r="G4" s="39">
        <v>41429</v>
      </c>
      <c r="H4" s="42" t="s">
        <v>84</v>
      </c>
      <c r="I4" s="42" t="s">
        <v>84</v>
      </c>
      <c r="J4" s="40" t="s">
        <v>113</v>
      </c>
      <c r="K4" s="39">
        <v>41432</v>
      </c>
      <c r="L4" s="27">
        <v>41430</v>
      </c>
      <c r="M4" s="27">
        <v>41431</v>
      </c>
      <c r="N4" s="37" t="s">
        <v>24</v>
      </c>
      <c r="O4" s="27">
        <v>41431</v>
      </c>
      <c r="P4" s="37" t="s">
        <v>85</v>
      </c>
      <c r="Q4" s="38" t="s">
        <v>86</v>
      </c>
      <c r="R4" s="27">
        <v>41431</v>
      </c>
      <c r="S4" s="27">
        <v>41431</v>
      </c>
      <c r="T4" s="5">
        <v>41431</v>
      </c>
      <c r="U4" s="4" t="s">
        <v>101</v>
      </c>
      <c r="V4" s="4" t="s">
        <v>101</v>
      </c>
      <c r="W4" s="4" t="s">
        <v>87</v>
      </c>
      <c r="X4" s="4" t="s">
        <v>87</v>
      </c>
    </row>
    <row r="5" spans="1:24" s="21" customFormat="1">
      <c r="A5" s="40"/>
      <c r="B5" s="26"/>
      <c r="C5" s="26"/>
      <c r="D5" s="26"/>
      <c r="E5" s="26"/>
      <c r="F5" s="26"/>
      <c r="G5" s="39"/>
      <c r="H5" s="42"/>
      <c r="I5" s="42"/>
      <c r="J5" s="40"/>
      <c r="K5" s="39"/>
      <c r="L5" s="27"/>
      <c r="M5" s="27"/>
      <c r="N5" s="37"/>
      <c r="O5" s="27"/>
      <c r="P5" s="37"/>
      <c r="Q5" s="38"/>
      <c r="R5" s="27"/>
      <c r="S5" s="27"/>
      <c r="T5" s="5"/>
      <c r="U5" s="4"/>
      <c r="V5" s="4"/>
      <c r="W5" s="4"/>
      <c r="X5" s="4"/>
    </row>
    <row r="6" spans="1:24" s="21" customFormat="1">
      <c r="A6" s="40"/>
      <c r="B6" s="26"/>
      <c r="C6" s="26"/>
      <c r="D6" s="26"/>
      <c r="E6" s="26"/>
      <c r="F6" s="26"/>
      <c r="G6" s="39"/>
      <c r="H6" s="42"/>
      <c r="I6" s="42"/>
      <c r="J6" s="40"/>
      <c r="K6" s="39"/>
      <c r="L6" s="27"/>
      <c r="M6" s="27"/>
      <c r="N6" s="37"/>
      <c r="O6" s="27"/>
      <c r="P6" s="37"/>
      <c r="Q6" s="38"/>
      <c r="R6" s="27"/>
      <c r="S6" s="27"/>
      <c r="T6" s="5"/>
      <c r="U6" s="4"/>
      <c r="V6" s="4"/>
      <c r="W6" s="4"/>
      <c r="X6" s="4"/>
    </row>
    <row r="7" spans="1:24" s="21" customFormat="1">
      <c r="A7" s="40"/>
      <c r="B7" s="26"/>
      <c r="C7" s="26"/>
      <c r="D7" s="26"/>
      <c r="E7" s="26"/>
      <c r="F7" s="26"/>
      <c r="G7" s="39"/>
      <c r="H7" s="42"/>
      <c r="I7" s="42"/>
      <c r="J7" s="40"/>
      <c r="K7" s="39"/>
      <c r="L7" s="27"/>
      <c r="M7" s="27"/>
      <c r="N7" s="37"/>
      <c r="O7" s="27"/>
      <c r="P7" s="37"/>
      <c r="Q7" s="38"/>
      <c r="R7" s="27"/>
      <c r="S7" s="27"/>
      <c r="T7" s="5"/>
      <c r="U7" s="4"/>
      <c r="V7" s="4"/>
      <c r="W7" s="4"/>
      <c r="X7" s="4"/>
    </row>
    <row r="8" spans="1:24" s="21" customFormat="1">
      <c r="A8" s="40"/>
      <c r="B8" s="26"/>
      <c r="C8" s="26"/>
      <c r="D8" s="26"/>
      <c r="E8" s="26"/>
      <c r="F8" s="26"/>
      <c r="G8" s="39"/>
      <c r="H8" s="42"/>
      <c r="I8" s="42"/>
      <c r="J8" s="40"/>
      <c r="K8" s="39"/>
      <c r="L8" s="27"/>
      <c r="M8" s="27"/>
      <c r="N8" s="37"/>
      <c r="O8" s="27"/>
      <c r="P8" s="37"/>
      <c r="Q8" s="38"/>
      <c r="R8" s="27"/>
      <c r="S8" s="27"/>
      <c r="T8" s="5"/>
      <c r="U8" s="4"/>
      <c r="V8" s="4"/>
      <c r="W8" s="4"/>
      <c r="X8" s="4"/>
    </row>
    <row r="9" spans="1:24" s="21" customFormat="1">
      <c r="A9" s="40"/>
      <c r="B9" s="26"/>
      <c r="C9" s="26"/>
      <c r="D9" s="26"/>
      <c r="E9" s="26"/>
      <c r="F9" s="26"/>
      <c r="G9" s="39"/>
      <c r="H9" s="42"/>
      <c r="I9" s="42"/>
      <c r="J9" s="40"/>
      <c r="K9" s="39"/>
      <c r="L9" s="27"/>
      <c r="M9" s="27"/>
      <c r="N9" s="37"/>
      <c r="O9" s="27"/>
      <c r="P9" s="37"/>
      <c r="Q9" s="38"/>
      <c r="R9" s="27"/>
      <c r="S9" s="27"/>
      <c r="T9" s="5"/>
      <c r="U9" s="4"/>
      <c r="V9" s="4"/>
      <c r="W9" s="4"/>
      <c r="X9" s="4"/>
    </row>
    <row r="10" spans="1:24" s="21" customFormat="1">
      <c r="A10" s="40"/>
      <c r="B10" s="26"/>
      <c r="C10" s="26"/>
      <c r="D10" s="26"/>
      <c r="E10" s="26"/>
      <c r="F10" s="26"/>
      <c r="G10" s="39"/>
      <c r="H10" s="42"/>
      <c r="I10" s="42"/>
      <c r="J10" s="40"/>
      <c r="K10" s="39"/>
      <c r="L10" s="27"/>
      <c r="M10" s="27"/>
      <c r="N10" s="37"/>
      <c r="O10" s="27"/>
      <c r="P10" s="37"/>
      <c r="Q10" s="38"/>
      <c r="R10" s="27"/>
      <c r="S10" s="27"/>
      <c r="T10" s="5"/>
      <c r="U10" s="4"/>
      <c r="V10" s="4"/>
      <c r="W10" s="4"/>
      <c r="X10" s="4"/>
    </row>
  </sheetData>
  <autoFilter ref="A3:X10" xr:uid="{00000000-0009-0000-0000-000002000000}">
    <sortState xmlns:xlrd2="http://schemas.microsoft.com/office/spreadsheetml/2017/richdata2" ref="A4:X1220">
      <sortCondition ref="A3:A1220"/>
    </sortState>
  </autoFilter>
  <customSheetViews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1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3"/>
      <headerFooter alignWithMargins="0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5"/>
      <headerFooter alignWithMargins="0"/>
      <autoFilter ref="B1:AE1" xr:uid="{B68F6F9B-77AF-4778-9E56-5F481D3D6656}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6"/>
      <headerFooter alignWithMargins="0"/>
      <autoFilter ref="B1:AE1" xr:uid="{7D16CAE5-6F12-48E6-B0EC-082363C4E709}">
        <filterColumn colId="12">
          <filters blank="1"/>
        </filterColumn>
      </autoFilter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7"/>
      <headerFooter alignWithMargins="0"/>
      <autoFilter ref="B1:AE1" xr:uid="{117FC7EE-4940-4158-BE11-7B25C45DC2A2}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8"/>
      <headerFooter alignWithMargins="0"/>
      <autoFilter ref="B1:AE1" xr:uid="{8C4E198B-57B2-45F3-B4B8-C42C5201CEC2}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 xr:uid="{BA12619F-72EF-4089-94E7-DE4BD9074412}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0"/>
      <headerFooter alignWithMargins="0"/>
      <autoFilter ref="B1:AE1" xr:uid="{6F1AAAB6-F599-4B0D-B096-E165EA32F761}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1"/>
      <headerFooter alignWithMargins="0"/>
      <autoFilter ref="B1:AE1" xr:uid="{BB048CC6-EE3F-4DA4-B0B0-EC954EA67208}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2"/>
      <headerFooter alignWithMargins="0"/>
      <autoFilter ref="B1:AE1" xr:uid="{CA1C8F95-5176-44D8-97FE-17719543B9BC}"/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 xr:uid="{982DF832-8B1D-4A84-978B-5EACF8A3C325}"/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4"/>
      <headerFooter alignWithMargins="0">
        <oddFooter>&amp;C&amp;P/&amp;N</oddFooter>
      </headerFooter>
      <autoFilter ref="B1:AE1" xr:uid="{D361DCCA-733A-427A-BD05-AD3441240ED9}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5"/>
      <headerFooter alignWithMargins="0"/>
      <autoFilter ref="B1:AE1" xr:uid="{0EDDD572-D996-4ED2-BFAF-74C8626F05C9}">
        <filterColumn colId="1">
          <filters>
            <filter val="2.4.1_個別審査"/>
          </filters>
        </filterColumn>
      </autoFilter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6"/>
      <headerFooter alignWithMargins="0"/>
      <autoFilter ref="B1:AE1" xr:uid="{0F043FC0-E886-401F-AE96-95F11D029823}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 xr:uid="{BC005FD3-1B0A-4857-AFF7-CE2E1B2BB4DF}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18"/>
      <headerFooter alignWithMargins="0"/>
      <autoFilter ref="B1:AE1" xr:uid="{1FBAB554-63C3-4511-94C9-D2BF02BCC891}"/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19"/>
      <headerFooter alignWithMargins="0"/>
      <autoFilter ref="B1:AE1" xr:uid="{B1C7C35A-4DD0-47D4-9D9E-F9DE27F3B5B4}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20"/>
      <headerFooter alignWithMargins="0"/>
      <autoFilter ref="B1:AE1" xr:uid="{9FC37FA9-FB0B-4925-8283-FEDD26E751E8}">
        <filterColumn colId="12">
          <filters blank="1"/>
        </filterColumn>
      </autoFilter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21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23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25"/>
      <headerFooter alignWithMargins="0"/>
    </customSheetView>
  </customSheetViews>
  <phoneticPr fontId="28"/>
  <conditionalFormatting sqref="A2:A3 J2:J3 U3:X3 B3:I3 L2:L3 K3:S3 F4 T2:T10 U4:U10 L11:U65536 J11:J65536">
    <cfRule type="expression" dxfId="17" priority="59880" stopIfTrue="1">
      <formula>$U2="済"</formula>
    </cfRule>
  </conditionalFormatting>
  <conditionalFormatting sqref="X1:IV2 Y4:IV9 X11:IV62596">
    <cfRule type="expression" dxfId="16" priority="59909" stopIfTrue="1">
      <formula>$T2="済"</formula>
    </cfRule>
  </conditionalFormatting>
  <conditionalFormatting sqref="X62597:IV62733">
    <cfRule type="expression" dxfId="15" priority="59919" stopIfTrue="1">
      <formula>$T65537="済"</formula>
    </cfRule>
  </conditionalFormatting>
  <conditionalFormatting sqref="X62734:IV65536">
    <cfRule type="expression" dxfId="14" priority="59911" stopIfTrue="1">
      <formula>#REF!="済"</formula>
    </cfRule>
  </conditionalFormatting>
  <conditionalFormatting sqref="A62054:I62239 K62054:K62239 E62040:E62225">
    <cfRule type="expression" dxfId="13" priority="59907" stopIfTrue="1">
      <formula>#REF!="済"</formula>
    </cfRule>
  </conditionalFormatting>
  <conditionalFormatting sqref="A62608:I65536 K62608:K65536 E62594:E65536">
    <cfRule type="expression" dxfId="12" priority="59901" stopIfTrue="1">
      <formula>#REF!="済"</formula>
    </cfRule>
  </conditionalFormatting>
  <conditionalFormatting sqref="A62240:I62398 K62240:K62398 E62226:E62384">
    <cfRule type="expression" dxfId="11" priority="59914" stopIfTrue="1">
      <formula>#REF!="済"</formula>
    </cfRule>
  </conditionalFormatting>
  <conditionalFormatting sqref="A62399:I62406 K62399:K62406 E62385:E62392">
    <cfRule type="expression" dxfId="10" priority="59906" stopIfTrue="1">
      <formula>#REF!="済"</formula>
    </cfRule>
  </conditionalFormatting>
  <conditionalFormatting sqref="A62407:I62607 K62407:K62607 E62393:E62593">
    <cfRule type="expression" dxfId="9" priority="59916" stopIfTrue="1">
      <formula>#REF!="済"</formula>
    </cfRule>
  </conditionalFormatting>
  <conditionalFormatting sqref="Y10:IV10">
    <cfRule type="expression" dxfId="8" priority="62856" stopIfTrue="1">
      <formula>#REF!="済"</formula>
    </cfRule>
  </conditionalFormatting>
  <conditionalFormatting sqref="A4:S10">
    <cfRule type="expression" dxfId="7" priority="59917" stopIfTrue="1">
      <formula>($N4&lt;&gt;"")</formula>
    </cfRule>
  </conditionalFormatting>
  <conditionalFormatting sqref="A11:I62053 K11:K62053">
    <cfRule type="expression" dxfId="6" priority="59890" stopIfTrue="1">
      <formula>$U20="済"</formula>
    </cfRule>
  </conditionalFormatting>
  <conditionalFormatting sqref="L4:S10">
    <cfRule type="expression" dxfId="5" priority="62846" stopIfTrue="1">
      <formula>($M4&lt;&gt;"")</formula>
    </cfRule>
  </conditionalFormatting>
  <conditionalFormatting sqref="V4:W10">
    <cfRule type="expression" dxfId="4" priority="60029" stopIfTrue="1">
      <formula>OR(AND($Q4="要",$V4="済"),$Q4="否",$V4="済",AND($N4&lt;&gt;"",OR($Q4="否",$Q4=""),OR($V4="反映不要",$V4="")))</formula>
    </cfRule>
    <cfRule type="expression" dxfId="3" priority="60030" stopIfTrue="1">
      <formula>($Q4="要")</formula>
    </cfRule>
  </conditionalFormatting>
  <conditionalFormatting sqref="X4:X10">
    <cfRule type="expression" dxfId="2" priority="61459" stopIfTrue="1">
      <formula>OR(AND($Q4&lt;&gt;"要",$X4&lt;&gt;""),$Q4="要")</formula>
    </cfRule>
    <cfRule type="expression" dxfId="1" priority="61460" stopIfTrue="1">
      <formula>AND($Q4&lt;&gt;"要",$X4="")</formula>
    </cfRule>
  </conditionalFormatting>
  <conditionalFormatting sqref="Y3:IV3">
    <cfRule type="expression" dxfId="0" priority="10696" stopIfTrue="1">
      <formula>#REF!="済"</formula>
    </cfRule>
  </conditionalFormatting>
  <dataValidations count="6">
    <dataValidation allowBlank="1" sqref="B4:B10" xr:uid="{00000000-0002-0000-0200-000000000000}"/>
    <dataValidation type="list" allowBlank="1" showInputMessage="1" showErrorMessage="1" sqref="V4:V10" xr:uid="{00000000-0002-0000-0200-000001000000}">
      <formula1>"反映不要,未反映,済"</formula1>
    </dataValidation>
    <dataValidation type="list" allowBlank="1" showInputMessage="1" showErrorMessage="1" sqref="Q4:Q10" xr:uid="{00000000-0002-0000-0200-000002000000}">
      <formula1>"要,否"</formula1>
    </dataValidation>
    <dataValidation type="list" allowBlank="1" showInputMessage="1" showErrorMessage="1" sqref="X4:X10" xr:uid="{00000000-0002-0000-0200-000003000000}">
      <formula1>"仕様変更,資料不備,仕様不明確,理解不足,確認事項"</formula1>
    </dataValidation>
    <dataValidation type="list" showInputMessage="1" showErrorMessage="1" sqref="U3:U65536" xr:uid="{00000000-0002-0000-0200-000004000000}">
      <formula1>",済"</formula1>
    </dataValidation>
    <dataValidation type="list" allowBlank="1" showInputMessage="1" showErrorMessage="1" sqref="J2" xr:uid="{00000000-0002-0000-0200-000005000000}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統計結果</vt:lpstr>
      <vt:lpstr>分析一覧</vt:lpstr>
      <vt:lpstr>QA管理一覧表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張勇</cp:lastModifiedBy>
  <cp:lastPrinted>2013-06-20T09:21:52Z</cp:lastPrinted>
  <dcterms:created xsi:type="dcterms:W3CDTF">2009-03-13T12:52:04Z</dcterms:created>
  <dcterms:modified xsi:type="dcterms:W3CDTF">2023-05-02T06:52:02Z</dcterms:modified>
</cp:coreProperties>
</file>