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C1BE525F-F0D3-45B3-80E7-F82BC2D831CC}" xr6:coauthVersionLast="47" xr6:coauthVersionMax="47" xr10:uidLastSave="{00000000-0000-0000-0000-000000000000}"/>
  <bookViews>
    <workbookView xWindow="-28920" yWindow="2355" windowWidth="29040" windowHeight="15720" tabRatio="799" firstSheet="1" activeTab="2" xr2:uid="{00000000-000D-0000-FFFF-FFFF00000000}"/>
  </bookViews>
  <sheets>
    <sheet name="統計結果" sheetId="4" state="hidden" r:id="rId1"/>
    <sheet name="分析一覧" sheetId="14" r:id="rId2"/>
    <sheet name="QA管理一覧表" sheetId="3" r:id="rId3"/>
  </sheets>
  <externalReferences>
    <externalReference r:id="rId4"/>
    <externalReference r:id="rId5"/>
  </externalReferences>
  <definedNames>
    <definedName name="_xlnm._FilterDatabase" localSheetId="2" hidden="1">QA管理一覧表!$A$3:$X$10</definedName>
    <definedName name="_Order1" hidden="1">255</definedName>
    <definedName name="_xlnm.Print_Area" localSheetId="2">QA管理一覧表!A1:W10</definedName>
    <definedName name="_xlnm.Print_Titles" localSheetId="2">QA管理一覧表!$1:$3</definedName>
    <definedName name="_xlnm.Print_Titles">[1]運用設計書原紙!$A$1:$IV$3</definedName>
    <definedName name="QA">QA管理一覧表!$A$3:$V$5</definedName>
    <definedName name="Z_0CA608AB_D6A3_4D8D_A393_46BDDA8FC902_.wvu.FilterData" localSheetId="2" hidden="1">QA管理一覧表!$A$3:$V$3</definedName>
    <definedName name="Z_0E0E067B_FCAF_48F1_BFA8_5DB8BC590788_.wvu.FilterData" localSheetId="2" hidden="1">QA管理一覧表!$A$3:$V$5</definedName>
    <definedName name="Z_16F10120_1703_49F6_8292_B301D1C797AE_.wvu.FilterData" localSheetId="2" hidden="1">QA管理一覧表!$A$3:$V$5</definedName>
    <definedName name="Z_1725E8AD_B682_44D3_A9B4_F3346B035AB8_.wvu.FilterData" localSheetId="2" hidden="1">QA管理一覧表!$A$3:$V$5</definedName>
    <definedName name="Z_179682AD_88A5_48E7_90FE_C00C8657731B_.wvu.FilterData" localSheetId="2" hidden="1">QA管理一覧表!$A$3:$V$5</definedName>
    <definedName name="Z_17B591BF_85EA_4016_ACBE_ACB0B88CE87B_.wvu.FilterData" localSheetId="2" hidden="1">QA管理一覧表!$A$3:$V$3</definedName>
    <definedName name="Z_19350643_97FC_4148_9258_BAA507AB3483_.wvu.FilterData" localSheetId="2" hidden="1">QA管理一覧表!$A$3:$V$3</definedName>
    <definedName name="Z_1C018A6D_9377_4D39_A22D_22247DF9E629_.wvu.FilterData" localSheetId="2" hidden="1">QA管理一覧表!$A$3:$V$5</definedName>
    <definedName name="Z_1C018A6D_9377_4D39_A22D_22247DF9E629_.wvu.PrintTitles" localSheetId="2" hidden="1">QA管理一覧表!$1:$3</definedName>
    <definedName name="Z_1F65444B_8803_40B3_90B7_1E3525C6F78D_.wvu.FilterData" localSheetId="2" hidden="1">QA管理一覧表!$A$3:$V$5</definedName>
    <definedName name="Z_21EEE7ED_80CE_42A9_BD87_DB4288CC1073_.wvu.FilterData" localSheetId="2" hidden="1">QA管理一覧表!$A$3:$V$5</definedName>
    <definedName name="Z_24BE5047_26C1_426E_BE35_4E7DC60F77FA_.wvu.FilterData" localSheetId="2" hidden="1">QA管理一覧表!$A$3:$V$3</definedName>
    <definedName name="Z_2560C05E_E5F9_4A05_9D31_F395ECAEBA33_.wvu.FilterData" localSheetId="2" hidden="1">QA管理一覧表!$A$3:$V$3</definedName>
    <definedName name="Z_2CE6F66E_53C3_4A73_B1A8_18C71351464C_.wvu.FilterData" localSheetId="2" hidden="1">QA管理一覧表!$A$3:$V$5</definedName>
    <definedName name="Z_2CE6F66E_53C3_4A73_B1A8_18C71351464C_.wvu.PrintArea" localSheetId="2" hidden="1">QA管理一覧表!$A$1:$W$10</definedName>
    <definedName name="Z_2CE6F66E_53C3_4A73_B1A8_18C71351464C_.wvu.PrintTitles" localSheetId="2" hidden="1">QA管理一覧表!$1:$3</definedName>
    <definedName name="Z_2F7A26AB_722C_4FB2_9F1A_66A1957ED835_.wvu.FilterData" localSheetId="2" hidden="1">QA管理一覧表!$A$3:$V$5</definedName>
    <definedName name="Z_3321A3A4_C86F_4EBE_9A3F_0F7CB101C8F3_.wvu.FilterData" localSheetId="2" hidden="1">QA管理一覧表!$A$3:$V$3</definedName>
    <definedName name="Z_33736625_93FD_4E18_83F4_9431D180B091_.wvu.FilterData" localSheetId="2" hidden="1">QA管理一覧表!$A$3:$V$3</definedName>
    <definedName name="Z_37C0172F_0214_4F13_8094_0545856787BF_.wvu.FilterData" localSheetId="2" hidden="1">QA管理一覧表!$A$3:$V$5</definedName>
    <definedName name="Z_37C0172F_0214_4F13_8094_0545856787BF_.wvu.PrintArea" localSheetId="2" hidden="1">QA管理一覧表!$A$1:$W$10</definedName>
    <definedName name="Z_37C0172F_0214_4F13_8094_0545856787BF_.wvu.PrintTitles" localSheetId="2" hidden="1">QA管理一覧表!$1:$3</definedName>
    <definedName name="Z_385120E5_634A_4338_BD5A_A6B35132E213_.wvu.FilterData" localSheetId="2" hidden="1">QA管理一覧表!$A$3:$V$3</definedName>
    <definedName name="Z_3DCB5A71_A8F4_4147_B104_6AB75AF2B228_.wvu.FilterData" localSheetId="2" hidden="1">QA管理一覧表!$A$3:$V$5</definedName>
    <definedName name="Z_42A58AE4_39D4_40A2_9708_32B9087A4AB8_.wvu.FilterData" localSheetId="2" hidden="1">QA管理一覧表!$A$3:$V$5</definedName>
    <definedName name="Z_431BC71D_A928_4424_8063_367052496243_.wvu.FilterData" localSheetId="2" hidden="1">QA管理一覧表!$A$3:$V$5</definedName>
    <definedName name="Z_431BC71D_A928_4424_8063_367052496243_.wvu.PrintArea" localSheetId="2" hidden="1">QA管理一覧表!$A$1:$W$10</definedName>
    <definedName name="Z_431BC71D_A928_4424_8063_367052496243_.wvu.PrintTitles" localSheetId="2" hidden="1">QA管理一覧表!$1:$3</definedName>
    <definedName name="Z_4B1203DA_1747_4CB9_BA3F_70007A642326_.wvu.FilterData" localSheetId="2" hidden="1">QA管理一覧表!$A$3:$V$3</definedName>
    <definedName name="Z_4D81BB8C_E3F3_4CF9_B2A3_3E4B928F043B_.wvu.FilterData" localSheetId="2" hidden="1">QA管理一覧表!$A$3:$V$5</definedName>
    <definedName name="Z_4D81BB8C_E3F3_4CF9_B2A3_3E4B928F043B_.wvu.PrintArea" localSheetId="2" hidden="1">QA管理一覧表!$A$1:$W$10</definedName>
    <definedName name="Z_4D81BB8C_E3F3_4CF9_B2A3_3E4B928F043B_.wvu.PrintTitles" localSheetId="2" hidden="1">QA管理一覧表!$1:$3</definedName>
    <definedName name="Z_53C4224F_E4DF_466F_AB85_49E0CF9BF9BD_.wvu.FilterData" localSheetId="2" hidden="1">QA管理一覧表!$A$3:$V$3</definedName>
    <definedName name="Z_54DB0819_34B0_4F28_8663_5F3F02011848_.wvu.FilterData" localSheetId="2" hidden="1">QA管理一覧表!$A$3:$V$3</definedName>
    <definedName name="Z_56B18505_3F08_45A6_BF42_F766C7DD32F8_.wvu.FilterData" localSheetId="2" hidden="1">QA管理一覧表!$A$3:$V$5</definedName>
    <definedName name="Z_57F2B85D_A16E_4F2B_B606_8ED38E30C205_.wvu.FilterData" localSheetId="2" hidden="1">QA管理一覧表!$A$3:$V$5</definedName>
    <definedName name="Z_595CD091_ECE8_433C_9F29_BCFA5069325D_.wvu.FilterData" localSheetId="2" hidden="1">QA管理一覧表!$A$3:$V$5</definedName>
    <definedName name="Z_595CD091_ECE8_433C_9F29_BCFA5069325D_.wvu.PrintTitles" localSheetId="2" hidden="1">QA管理一覧表!$1:$3</definedName>
    <definedName name="Z_5BFFE39F_FE4E_43B4_8E90_62B8F09ECD7E_.wvu.FilterData" localSheetId="2" hidden="1">QA管理一覧表!$A$3:$V$5</definedName>
    <definedName name="Z_5C269FF1_B4E4_4143_8D19_556D1E4FA759_.wvu.FilterData" localSheetId="2" hidden="1">QA管理一覧表!$A$3:$V$3</definedName>
    <definedName name="Z_5E00BD7A_0444_41D3_B168_9E05ABC5CAFD_.wvu.FilterData" localSheetId="2" hidden="1">QA管理一覧表!$A$3:$V$3</definedName>
    <definedName name="Z_5E2924B9_A8E6_4935_BD2A_12A6697A062F_.wvu.FilterData" localSheetId="2" hidden="1">QA管理一覧表!$A$3:$V$5</definedName>
    <definedName name="Z_5EFF93E1_D1A4_45C3_9049_9AAC151329EB_.wvu.FilterData" localSheetId="2" hidden="1">QA管理一覧表!$A$3:$V$5</definedName>
    <definedName name="Z_640CC61C_2DAB_486A_A7CE_C48702CB172D_.wvu.FilterData" localSheetId="2" hidden="1">QA管理一覧表!$A$3:$V$5</definedName>
    <definedName name="Z_645E3300_13D7_409F_B08B_3CE6B39F9519_.wvu.FilterData" localSheetId="2" hidden="1">QA管理一覧表!$A$3:$V$5</definedName>
    <definedName name="Z_66065EF6_6A5C_4DB7_8A93_2EA0410F412D_.wvu.FilterData" localSheetId="2" hidden="1">QA管理一覧表!$A$3:$V$3</definedName>
    <definedName name="Z_6A307672_991F_4905_A40D_9F5760BDC397_.wvu.FilterData" localSheetId="2" hidden="1">QA管理一覧表!$A$3:$V$3</definedName>
    <definedName name="Z_6BBE8C29_A04D_4E90_AB1F_8FBA05FD9A12_.wvu.FilterData" localSheetId="2" hidden="1">QA管理一覧表!$A$3:$V$3</definedName>
    <definedName name="Z_6CC263D8_24F6_4A28_9A40_5CB07A76ED12_.wvu.FilterData" localSheetId="2" hidden="1">QA管理一覧表!$A$3:$V$5</definedName>
    <definedName name="Z_6E817D4E_15F3_4499_A0B8_B65EB55541B7_.wvu.FilterData" localSheetId="2" hidden="1">QA管理一覧表!$A$3:$V$5</definedName>
    <definedName name="Z_6E817D4E_15F3_4499_A0B8_B65EB55541B7_.wvu.PrintArea" localSheetId="2" hidden="1">QA管理一覧表!$A$1:$V$10</definedName>
    <definedName name="Z_75870A36_6D60_4C0B_839D_646E56C1DED6_.wvu.FilterData" localSheetId="2" hidden="1">QA管理一覧表!$A$3:$V$5</definedName>
    <definedName name="Z_75F4512F_070B_4450_89C0_2A6DA651C592_.wvu.FilterData" localSheetId="2" hidden="1">QA管理一覧表!$A$3:$V$3</definedName>
    <definedName name="Z_76B437E7_AF7B_4891_AA7F_A7C083440330_.wvu.FilterData" localSheetId="2" hidden="1">QA管理一覧表!$A$3:$V$3</definedName>
    <definedName name="Z_78D7DF69_005C_44AE_A21D_97B8019D3D13_.wvu.FilterData" localSheetId="2" hidden="1">QA管理一覧表!$A$3:$V$5</definedName>
    <definedName name="Z_7C2C0227_C9E1_47D3_ADE3_EBCBB40169C2_.wvu.FilterData" localSheetId="2" hidden="1">QA管理一覧表!$A$3:$V$5</definedName>
    <definedName name="Z_7DF7940C_3E71_42A7_BAFA_AAAE8F39F6C9_.wvu.FilterData" localSheetId="2" hidden="1">QA管理一覧表!$A$3:$V$3</definedName>
    <definedName name="Z_80B27337_3C81_4A24_9C92_88207222FE51_.wvu.FilterData" localSheetId="2" hidden="1">QA管理一覧表!$A$3:$V$3</definedName>
    <definedName name="Z_816E6825_7BBF_4B0D_B200_A73F0DDB17EF_.wvu.FilterData" localSheetId="2" hidden="1">QA管理一覧表!$A$3:$V$5</definedName>
    <definedName name="Z_826C32C5_7CC2_43D4_9705_F4DC0732A3CA_.wvu.FilterData" localSheetId="2" hidden="1">QA管理一覧表!$A$3:$V$5</definedName>
    <definedName name="Z_8623AE91_276B_47CD_A9BC_FCF5705A2134_.wvu.FilterData" localSheetId="2" hidden="1">QA管理一覧表!$A$3:$V$5</definedName>
    <definedName name="Z_8A24FFB0_132D_48D8_9377_2CE5690770DB_.wvu.FilterData" localSheetId="2" hidden="1">QA管理一覧表!$A$3:$V$3</definedName>
    <definedName name="Z_8CAF88BC_8912_4080_9FB9_F388EB61B653_.wvu.FilterData" localSheetId="2" hidden="1">QA管理一覧表!$A$3:$V$3</definedName>
    <definedName name="Z_8D69C91C_6925_43B5_AB02_2980CB4B743F_.wvu.FilterData" localSheetId="2" hidden="1">QA管理一覧表!$A$3:$V$3</definedName>
    <definedName name="Z_8F77C63D_878B_4D1C_AE96_8F4B8E182285_.wvu.FilterData" localSheetId="2" hidden="1">QA管理一覧表!$A$3:$V$5</definedName>
    <definedName name="Z_9468ED90_0728_4F2F_8893_06582EDECF39_.wvu.FilterData" localSheetId="2" hidden="1">QA管理一覧表!$A$3:$V$3</definedName>
    <definedName name="Z_985BF1BC_FA4C_42EC_81E5_BFA3B5B6FBB2_.wvu.FilterData" localSheetId="2" hidden="1">QA管理一覧表!$A$3:$V$5</definedName>
    <definedName name="Z_98CA705A_0125_46AD_ABA1_277C29BAF03F_.wvu.FilterData" localSheetId="2" hidden="1">QA管理一覧表!$A$3:$V$5</definedName>
    <definedName name="Z_9CAE8AC6_524E_4CBD_AC05_CAD71D74A8CB_.wvu.FilterData" localSheetId="2" hidden="1">QA管理一覧表!$A$3:$V$5</definedName>
    <definedName name="Z_9D729E58_51D3_4C0A_8C17_2DD55797863B_.wvu.FilterData" localSheetId="2" hidden="1">QA管理一覧表!$A$3:$V$3</definedName>
    <definedName name="Z_9EA89D67_8AC7_4A75_8451_6B6A5914C570_.wvu.FilterData" localSheetId="2" hidden="1">QA管理一覧表!$A$3:$V$5</definedName>
    <definedName name="Z_ADFBF95C_D32E_4E7C_AFA1_429D55F0A342_.wvu.FilterData" localSheetId="2" hidden="1">QA管理一覧表!$A$3:$V$3</definedName>
    <definedName name="Z_B0E42FDA_F27A_465A_A998_76FD51F80067_.wvu.FilterData" localSheetId="2" hidden="1">QA管理一覧表!$A$3:$V$3</definedName>
    <definedName name="Z_B22E9D87_5F63_44DE_9938_19080049423E_.wvu.FilterData" localSheetId="2" hidden="1">QA管理一覧表!$A$3:$V$3</definedName>
    <definedName name="Z_B5608D6D_C271_4222_B794_1D4DAC3E0D07_.wvu.FilterData" localSheetId="2" hidden="1">QA管理一覧表!$A$3:$V$5</definedName>
    <definedName name="Z_B618E6A8_00BD_4BD9_8633_533A009682BB_.wvu.FilterData" localSheetId="2" hidden="1">QA管理一覧表!$A$3:$V$3</definedName>
    <definedName name="Z_B6A112D0_7BBC_4256_8BE8_882BBF79B212_.wvu.FilterData" localSheetId="2" hidden="1">QA管理一覧表!$A$3:$V$3</definedName>
    <definedName name="Z_BA8CB603_E53A_460C_93A4_C6FE59F9D760_.wvu.FilterData" localSheetId="2" hidden="1">QA管理一覧表!$A$3:$V$5</definedName>
    <definedName name="Z_BF310017_A1AD_46C6_8303_9D256BBCB14F_.wvu.FilterData" localSheetId="2" hidden="1">QA管理一覧表!$A$3:$V$5</definedName>
    <definedName name="Z_C0AD8062_6F44_41A8_B647_DB215B4C4381_.wvu.FilterData" localSheetId="2" hidden="1">QA管理一覧表!$A$3:$V$5</definedName>
    <definedName name="Z_C15DBF43_1D92_4F54_BEC6_8F3D212F8D99_.wvu.FilterData" localSheetId="2" hidden="1">QA管理一覧表!$A$3:$V$5</definedName>
    <definedName name="Z_C15DBF43_1D92_4F54_BEC6_8F3D212F8D99_.wvu.PrintArea" localSheetId="2" hidden="1">QA管理一覧表!$A$1:$W$10</definedName>
    <definedName name="Z_C15DBF43_1D92_4F54_BEC6_8F3D212F8D99_.wvu.PrintTitles" localSheetId="2" hidden="1">QA管理一覧表!$1:$3</definedName>
    <definedName name="Z_C329D071_A66F_4BEB_9E5E_2ED1265DA3B2_.wvu.FilterData" localSheetId="2" hidden="1">QA管理一覧表!$A$3:$V$5</definedName>
    <definedName name="Z_C576EE63_57B7_404C_AA54_BCCE6EAECEAC_.wvu.FilterData" localSheetId="2" hidden="1">QA管理一覧表!$A$3:$V$5</definedName>
    <definedName name="Z_C576EE63_57B7_404C_AA54_BCCE6EAECEAC_.wvu.PrintArea" localSheetId="2" hidden="1">QA管理一覧表!$A$1:$W$10</definedName>
    <definedName name="Z_C576EE63_57B7_404C_AA54_BCCE6EAECEAC_.wvu.PrintTitles" localSheetId="2" hidden="1">QA管理一覧表!$1:$3</definedName>
    <definedName name="Z_CB6E8A0D_36DB_4DD8_A0B1_4046B3D1C348_.wvu.FilterData" localSheetId="2" hidden="1">QA管理一覧表!$A$3:$V$5</definedName>
    <definedName name="Z_CBDD6FDB_0A6F_484C_AD09_83DDBF4E35CF_.wvu.FilterData" localSheetId="2" hidden="1">QA管理一覧表!$A$3:$V$5</definedName>
    <definedName name="Z_CBDD6FDB_0A6F_484C_AD09_83DDBF4E35CF_.wvu.PrintArea" localSheetId="2" hidden="1">QA管理一覧表!$A$1:$V$5</definedName>
    <definedName name="Z_CEFA04A3_9E17_4DC0_BF67_03CEA10F8239_.wvu.FilterData" localSheetId="2" hidden="1">QA管理一覧表!$A$3:$V$3</definedName>
    <definedName name="Z_D0AF4204_792A_4903_9D9B_387EE8E0FCF4_.wvu.FilterData" localSheetId="2" hidden="1">QA管理一覧表!$A$3:$V$5</definedName>
    <definedName name="Z_D69F293B_C043_4D7C_9DCB_093724D65AAC_.wvu.FilterData" localSheetId="2" hidden="1">QA管理一覧表!$A$3:$V$3</definedName>
    <definedName name="Z_D824648B_CD74_4F51_9695_3BAFAF7E2075_.wvu.FilterData" localSheetId="2" hidden="1">QA管理一覧表!$A$3:$V$5</definedName>
    <definedName name="Z_DF96F606_7FCE_4157_996F_1B95D9A134E3_.wvu.FilterData" localSheetId="2" hidden="1">QA管理一覧表!$A$3:$V$3</definedName>
    <definedName name="Z_E3557D52_BD4C_452C_B1CF_531320DE7FC1_.wvu.FilterData" localSheetId="2" hidden="1">QA管理一覧表!$A$3:$V$5</definedName>
    <definedName name="Z_E578AD38_A6F0_45C5_9308_6D92B3EE6918_.wvu.FilterData" localSheetId="2" hidden="1">QA管理一覧表!$A$3:$V$3</definedName>
    <definedName name="Z_E650BDB7_54CA_41C2_8EF1_FDFD8F8EBEF7_.wvu.FilterData" localSheetId="2" hidden="1">QA管理一覧表!$A$3:$V$5</definedName>
    <definedName name="Z_E6C7BC34_ECCF_4C92_B84B_A795388235AE_.wvu.FilterData" localSheetId="2" hidden="1">QA管理一覧表!$A$3:$V$5</definedName>
    <definedName name="Z_E776EA98_2AC0_49AE_9B1F_30E35C0E0304_.wvu.FilterData" localSheetId="2" hidden="1">QA管理一覧表!$A$3:$V$5</definedName>
    <definedName name="Z_EC8BAA3E_D8FA_4250_8C2E_19FAB44C2BAF_.wvu.FilterData" localSheetId="2" hidden="1">QA管理一覧表!$A$3:$V$3</definedName>
    <definedName name="Z_EF636B3F_0853_4192_B134_A0F9CBCF69DA_.wvu.FilterData" localSheetId="2" hidden="1">QA管理一覧表!$A$3:$V$3</definedName>
    <definedName name="Z_F2CD705A_D7A1_4E49_8A50_4B3770E99C76_.wvu.FilterData" localSheetId="2" hidden="1">QA管理一覧表!$A$3:$V$5</definedName>
    <definedName name="Z_F64FA1C0_E5B8_4C3E_97C6_F440F39DB6AD_.wvu.FilterData" localSheetId="2" hidden="1">QA管理一覧表!$A$3:$V$5</definedName>
    <definedName name="Z_F8DF663B_2164_4716_B962_39EC93A7839C_.wvu.FilterData" localSheetId="2" hidden="1">QA管理一覧表!$A$3:$V$5</definedName>
    <definedName name="Z_F94B58E0_2AD0_4D58_8044_158AC2396238_.wvu.FilterData" localSheetId="2" hidden="1">QA管理一覧表!$A$3:$V$5</definedName>
    <definedName name="Z_FB2256B3_6653_4CC8_8383_406A47E2D3CE_.wvu.FilterData" localSheetId="2" hidden="1">QA管理一覧表!$A$3:$V$5</definedName>
    <definedName name="Z_FB2256B3_6653_4CC8_8383_406A47E2D3CE_.wvu.PrintTitles" localSheetId="2" hidden="1">QA管理一覧表!$1:$3</definedName>
    <definedName name="Z_FBFBF0D8_B2B6_4574_B149_1196DEE6E932_.wvu.FilterData" localSheetId="2" hidden="1">QA管理一覧表!$A$3:$V$5</definedName>
    <definedName name="パス0" localSheetId="0">統計結果!$C$10</definedName>
    <definedName name="パス0">#REF!</definedName>
    <definedName name="パス1" localSheetId="0">統計結果!$C$11</definedName>
    <definedName name="パス1">#REF!</definedName>
    <definedName name="行補正" localSheetId="0">統計結果!$C$12</definedName>
    <definedName name="行補正">#REF!</definedName>
    <definedName name="申請区分">[2]情報シート!$B$14:$B$16</definedName>
  </definedNames>
  <calcPr calcId="191029" fullPrecision="0"/>
  <customWorkbookViews>
    <customWorkbookView name="chenkeyu - 個人用ビュー" guid="{4D81BB8C-E3F3-4CF9-B2A3-3E4B928F043B}" mergeInterval="0" personalView="1" maximized="1" windowWidth="1436" windowHeight="668" tabRatio="421" activeSheetId="3"/>
    <customWorkbookView name="QianLufeng - 個人用ビュー" guid="{2CE6F66E-53C3-4A73-B1A8-18C71351464C}" mergeInterval="0" personalView="1" maximized="1" windowWidth="1436" windowHeight="728" tabRatio="421" activeSheetId="3"/>
    <customWorkbookView name="xuheng - 個人用ビュー" guid="{431BC71D-A928-4424-8063-367052496243}" mergeInterval="0" personalView="1" maximized="1" windowWidth="1410" windowHeight="728" tabRatio="421" activeSheetId="3"/>
    <customWorkbookView name="松田_受取加工_麹町_195 - 個人用ビュー" guid="{595CD091-ECE8-433C-9F29-BCFA5069325D}" mergeInterval="0" personalView="1" maximized="1" windowWidth="1362" windowHeight="577" tabRatio="421" activeSheetId="3"/>
    <customWorkbookView name="RenPingPing - 個人用ビュー" guid="{5E2924B9-A8E6-4935-BD2A-12A6697A062F}" mergeInterval="0" personalView="1" maximized="1" windowWidth="1436" windowHeight="702" tabRatio="421" activeSheetId="3"/>
    <customWorkbookView name="TG-Ｍａｔｕｍｏｔｏ - 個人用ビュー" guid="{F64FA1C0-E5B8-4C3E-97C6-F440F39DB6AD}" mergeInterval="0" personalView="1" maximized="1" windowWidth="1436" windowHeight="755" tabRatio="421" activeSheetId="3"/>
    <customWorkbookView name="ZhaoAnQuan - 個人用ビュー" guid="{D824648B-CD74-4F51-9695-3BAFAF7E2075}" mergeInterval="0" personalView="1" maximized="1" windowWidth="1436" windowHeight="728" tabRatio="421" activeSheetId="3"/>
    <customWorkbookView name="WangHuanPu - 個人用ビュー" guid="{C329D071-A66F-4BEB-9E5E-2ED1265DA3B2}" mergeInterval="0" personalView="1" maximized="1" windowWidth="1436" windowHeight="698" tabRatio="421" activeSheetId="3"/>
    <customWorkbookView name="MHIR_ORICO - 個人用ビュー" guid="{F2CD705A-D7A1-4E49-8A50-4B3770E99C76}" mergeInterval="0" personalView="1" maximized="1" windowWidth="1570" windowHeight="711" tabRatio="421" activeSheetId="3"/>
    <customWorkbookView name="TGSD - 個人用ビュー" guid="{5BFFE39F-FE4E-43B4-8E90-62B8F09ECD7E}" mergeInterval="0" personalView="1" maximized="1" windowWidth="1436" windowHeight="728" activeSheetId="3"/>
    <customWorkbookView name="LiuFan - 個人用ビュー" guid="{179682AD-88A5-48E7-90FE-C00C8657731B}" mergeInterval="0" personalView="1" maximized="1" windowWidth="1328" windowHeight="586" activeSheetId="3"/>
    <customWorkbookView name="9156224 吉田充毅 - 個人用ビュー" guid="{7C2C0227-C9E1-47D3-ADE3-EBCBB40169C2}" mergeInterval="0" personalView="1" maximized="1" windowWidth="1276" windowHeight="609" activeSheetId="3" showComments="commIndAndComment"/>
    <customWorkbookView name="0927880　鈴木尚人 - 個人用ビュー" guid="{9CAE8AC6-524E-4CBD-AC05-CAD71D74A8CB}" mergeInterval="0" personalView="1" maximized="1" windowWidth="1180" windowHeight="665" activeSheetId="3"/>
    <customWorkbookView name="paoyan - 個人用ビュー" guid="{E3557D52-BD4C-452C-B1CF-531320DE7FC1}" mergeInterval="0" personalView="1" maximized="1" windowWidth="1020" windowHeight="592" tabRatio="335" activeSheetId="3"/>
    <customWorkbookView name="esmishiguro - 個人用ビュー" guid="{73767BBA-AF8D-4953-9700-AAAB2744F29D}" mergeInterval="0" personalView="1" maximized="1" windowWidth="1300" windowHeight="590" activeSheetId="3"/>
    <customWorkbookView name="paotyan - 個人用ビュー" guid="{BF310017-A1AD-46C6-8303-9D256BBCB14F}" mergeInterval="0" personalView="1" maximized="1" windowWidth="1020" windowHeight="570" activeSheetId="3"/>
    <customWorkbookView name="ZhangDeYan - 個人用ビュー" guid="{985BF1BC-FA4C-42EC-81E5-BFA3B5B6FBB2}" mergeInterval="0" personalView="1" maximized="1" windowWidth="1426" windowHeight="646" tabRatio="421" activeSheetId="3"/>
    <customWorkbookView name="MIZUHO - 個人用ビュー" guid="{CBDD6FDB-0A6F-484C-AD09-83DDBF4E35CF}" mergeInterval="0" personalView="1" maximized="1" windowWidth="1420" windowHeight="866" tabRatio="421" activeSheetId="3"/>
    <customWorkbookView name="TG-WangQingqing - 個人用ビュー" guid="{6E817D4E-15F3-4499-A0B8-B65EB55541B7}" mergeInterval="0" personalView="1" maximized="1" windowWidth="1436" windowHeight="672" tabRatio="421" activeSheetId="3"/>
    <customWorkbookView name="社内システム - 個人用ビュー" guid="{9EA89D67-8AC7-4A75-8451-6B6A5914C570}" mergeInterval="0" personalView="1" maximized="1" windowWidth="1276" windowHeight="628" tabRatio="421" activeSheetId="3"/>
    <customWorkbookView name="JingZhangJIng - 個人用ビュー" guid="{1C018A6D-9377-4D39-A22D-22247DF9E629}" mergeInterval="0" personalView="1" maximized="1" windowWidth="1436" windowHeight="698" tabRatio="421" activeSheetId="3"/>
    <customWorkbookView name="HanMingMing - 個人用ビュー" guid="{FB2256B3-6653-4CC8-8383-406A47E2D3CE}" mergeInterval="0" personalView="1" maximized="1" windowWidth="1276" windowHeight="852" tabRatio="421" activeSheetId="3"/>
    <customWorkbookView name="WangFuLin - 個人用ビュー" guid="{37C0172F-0214-4F13-8094-0545856787BF}" mergeInterval="0" personalView="1" maximized="1" windowWidth="1436" windowHeight="755" tabRatio="421" activeSheetId="3"/>
    <customWorkbookView name="binghui - 個人用ビュー" guid="{C15DBF43-1D92-4F54-BEC6-8F3D212F8D99}" mergeInterval="0" personalView="1" maximized="1" windowWidth="1436" windowHeight="728" tabRatio="421" activeSheetId="3"/>
    <customWorkbookView name="Ymashita - 個人用ビュー" guid="{C576EE63-57B7-404C-AA54-BCCE6EAECEAC}" mergeInterval="0" personalView="1" maximized="1" windowWidth="1436" windowHeight="638" tabRatio="421" activeSheetId="3"/>
  </customWorkbookViews>
</workbook>
</file>

<file path=xl/calcChain.xml><?xml version="1.0" encoding="utf-8"?>
<calcChain xmlns="http://schemas.openxmlformats.org/spreadsheetml/2006/main">
  <c r="D15" i="14" l="1"/>
  <c r="D14" i="14"/>
  <c r="D13" i="14"/>
  <c r="D12" i="14"/>
  <c r="D11" i="14"/>
  <c r="D16" i="14" l="1"/>
</calcChain>
</file>

<file path=xl/sharedStrings.xml><?xml version="1.0" encoding="utf-8"?>
<sst xmlns="http://schemas.openxmlformats.org/spreadsheetml/2006/main" count="178" uniqueCount="147">
  <si>
    <t>仕様不明確</t>
  </si>
  <si>
    <t>ＣＤ利用明細（銀行ＡＴＭ）作成</t>
  </si>
  <si>
    <t>ＣＤ利用明細（ＡＴＭ入金）作成</t>
  </si>
  <si>
    <t>融資会社債務精算自動仕訳ファイル作成</t>
  </si>
  <si>
    <t>戻し利息補正自動仕訳ファイル作成</t>
  </si>
  <si>
    <t>銀行ＣＤ手数料支払データ作成</t>
  </si>
  <si>
    <t>m_KFT05_0202</t>
  </si>
  <si>
    <t>m_KFT11_0101</t>
  </si>
  <si>
    <t>ＱＡ起票者記入欄</t>
  </si>
  <si>
    <t>ドキュメント</t>
  </si>
  <si>
    <t>シート</t>
  </si>
  <si>
    <t>№</t>
  </si>
  <si>
    <t>李国全</t>
  </si>
  <si>
    <t>田新科</t>
  </si>
  <si>
    <t>m_KFT05_0101</t>
  </si>
  <si>
    <t>設計書
修正完了
予定日</t>
  </si>
  <si>
    <t>回答
確認日</t>
  </si>
  <si>
    <t>確認</t>
  </si>
  <si>
    <t>陳科宇</t>
  </si>
  <si>
    <t>徐称</t>
  </si>
  <si>
    <t>区分</t>
  </si>
  <si>
    <t>回答</t>
  </si>
  <si>
    <t>詳細一覧</t>
  </si>
  <si>
    <t>「提携先精算締日」、「提携先精算帳票出力フラグ」は、
それぞれ複数個持っています。
全て参照しますので、マッピング仕様書を
・提携先精算帳票出力フラグ_001～010
・提携先精算締日_001～006
と修正しました。</t>
  </si>
  <si>
    <t>銭禄楓</t>
  </si>
  <si>
    <t>83、84行目の抽出項目「提携先精算帳票出力フラグ」と「提携先精算締日」はテープル定義書に存在していますが、既存DB「kf021k」のテーブル「ＣＤ資金補充委託契約」に存在していません。ご確認お願いします。
提携管理の最新DBはどのDBでしょうか。ご提示お願いします。</t>
  </si>
  <si>
    <t>m_KFT8o_0101</t>
  </si>
  <si>
    <t>m_KFT13_0101</t>
  </si>
  <si>
    <t>支払通知書作成</t>
  </si>
  <si>
    <t>質問
受領日</t>
  </si>
  <si>
    <t>設計書
修正日</t>
  </si>
  <si>
    <t>質問原因</t>
  </si>
  <si>
    <t>m_KFT8K_0101</t>
  </si>
  <si>
    <t>m_KFT73_0101</t>
  </si>
  <si>
    <t>m_KFT73_0201</t>
  </si>
  <si>
    <t>m_KFT79_0101</t>
  </si>
  <si>
    <t>m_KFT79_0201</t>
  </si>
  <si>
    <t>仕様修正要</t>
  </si>
  <si>
    <t>仕様変更</t>
  </si>
  <si>
    <t>個数</t>
  </si>
  <si>
    <t>10、11、12、13</t>
  </si>
  <si>
    <t>回答・確認</t>
  </si>
  <si>
    <t>m_KFT8L_0101</t>
  </si>
  <si>
    <t>m_KFT05_0104</t>
  </si>
  <si>
    <t>李明賽</t>
  </si>
  <si>
    <t>韓錦那</t>
  </si>
  <si>
    <t>支払状況・推移リスト作成</t>
  </si>
  <si>
    <t>口座不一致リスト作成</t>
  </si>
  <si>
    <t>ＢＭ計上リスト作成</t>
  </si>
  <si>
    <t>マスターカード（海外）当社ＣＤ利用データ作成</t>
  </si>
  <si>
    <t>ＣＤ取引履歴作成</t>
  </si>
  <si>
    <t>確認者</t>
  </si>
  <si>
    <t>回答
期限</t>
  </si>
  <si>
    <t>緊急
度</t>
  </si>
  <si>
    <t>ＣＤ精算立替情報作成</t>
  </si>
  <si>
    <t>ＣＤ利用精算情報作成</t>
  </si>
  <si>
    <t>アクワイアラ売上情報作成</t>
  </si>
  <si>
    <t>機能名称</t>
  </si>
  <si>
    <t>担当者</t>
  </si>
  <si>
    <t>回答者記入欄</t>
  </si>
  <si>
    <t>保証返済自動仕訳ファイル作成</t>
  </si>
  <si>
    <t>22、23、24、39</t>
  </si>
  <si>
    <t>28、29</t>
  </si>
  <si>
    <t>16、37</t>
  </si>
  <si>
    <t>ｉＤブランド精算情報リスト作成</t>
  </si>
  <si>
    <t>ｉＤブランド精算表作成</t>
  </si>
  <si>
    <t>ＣＤ日次精算データ作成</t>
  </si>
  <si>
    <t>m_KFT18_0101</t>
  </si>
  <si>
    <t>李揚</t>
  </si>
  <si>
    <t>銀行保証ローン種別チェックリスト作成</t>
  </si>
  <si>
    <t>団信保険料トラン作成</t>
  </si>
  <si>
    <t>融資金受入自動仕訳作成</t>
  </si>
  <si>
    <t>なし</t>
  </si>
  <si>
    <t>設計書
修正要否</t>
  </si>
  <si>
    <t>m_KFT32_0101</t>
  </si>
  <si>
    <t>m_KFT83_0102</t>
  </si>
  <si>
    <t>ＣＡＦＩＳ/ＣＤ（ＡＴＭ入金）精算データ（旬締、月末締分）作成</t>
  </si>
  <si>
    <t>m_KFT12_0101</t>
  </si>
  <si>
    <t>ﾏｯﾋﾟﾝｸﾞID</t>
  </si>
  <si>
    <t>46、52</t>
  </si>
  <si>
    <t>53、54、55、56、57</t>
  </si>
  <si>
    <t>50、51</t>
  </si>
  <si>
    <t>作間</t>
  </si>
  <si>
    <t>要</t>
  </si>
  <si>
    <t/>
  </si>
  <si>
    <t>m_KFT05_0106</t>
  </si>
  <si>
    <t>仕様反映状態</t>
  </si>
  <si>
    <t>m_KFT04_0101</t>
  </si>
  <si>
    <t>呂炳輝</t>
  </si>
  <si>
    <t>理解不足</t>
  </si>
  <si>
    <t>m_KFT19_0101</t>
  </si>
  <si>
    <t>m_KFT30_0101</t>
  </si>
  <si>
    <t>m_KFT31_0101</t>
  </si>
  <si>
    <t>ＭＪ売上精算情報作成</t>
  </si>
  <si>
    <t>回答日</t>
  </si>
  <si>
    <t>KFT180101_マッピング仕様書（ＣＤ日次精算データ作成）.xls</t>
  </si>
  <si>
    <t>25、26、27、30、45</t>
  </si>
  <si>
    <t>済</t>
  </si>
  <si>
    <t>処理定義書（マッピング）</t>
  </si>
  <si>
    <t>14、40、41</t>
  </si>
  <si>
    <t>m_KFT68_0101</t>
  </si>
  <si>
    <t>m_KFT69_0101</t>
  </si>
  <si>
    <t>３次督促資料発送指示リスト（代位弁済分）作成</t>
  </si>
  <si>
    <t>保証管理マスタチェックリスト（ローン種別コード変換）作成</t>
  </si>
  <si>
    <t>提携先トラン</t>
  </si>
  <si>
    <t>ＣＡＦＩＳ・ＣＤ精算エラーリスト作成</t>
  </si>
  <si>
    <t>m_KFT05_0105</t>
  </si>
  <si>
    <t>15、17、36、38</t>
  </si>
  <si>
    <t>添付
有無</t>
  </si>
  <si>
    <t>中</t>
  </si>
  <si>
    <t>合計</t>
  </si>
  <si>
    <t>資料不備</t>
  </si>
  <si>
    <t>m_KFT05_0102</t>
  </si>
  <si>
    <t>m_KFT05_0103</t>
  </si>
  <si>
    <t>提出</t>
  </si>
  <si>
    <t>m_KFT05_0201</t>
  </si>
  <si>
    <t>機能</t>
  </si>
  <si>
    <t>備考</t>
  </si>
  <si>
    <t>記入者</t>
  </si>
  <si>
    <t>20、21</t>
  </si>
  <si>
    <t>回答
予定日</t>
  </si>
  <si>
    <t>m_KFT83_0101</t>
  </si>
  <si>
    <t>m_KFT88_0101</t>
  </si>
  <si>
    <t>ＣＡＦＩＳ・ＣＤ精算資料（銀行ＣＤ）作成</t>
  </si>
  <si>
    <t>QA・指摘事項</t>
  </si>
  <si>
    <t>黄龍</t>
  </si>
  <si>
    <t>回答者</t>
  </si>
  <si>
    <t>状態</t>
  </si>
  <si>
    <t>記入日</t>
  </si>
  <si>
    <t>1、2、3、4、5、6、31、32、33、34</t>
  </si>
  <si>
    <t>在庫情報、入出庫情報</t>
  </si>
  <si>
    <t>在庫数量が、どちらのシートにも存在しているのですが、このままでいいですか？ご教示お願いします。</t>
  </si>
  <si>
    <t>入出庫情報</t>
  </si>
  <si>
    <t>カラムの物理名称が「io_num」が2つ存在しています。入出庫回数を「io_count」にしてもいいでしょうか。ご教示お願いします。</t>
  </si>
  <si>
    <t>濱遼太郎</t>
  </si>
  <si>
    <t>【倉庫】テーブル定義書202305.xmls</t>
  </si>
  <si>
    <t>【倉庫】テーブル定義書202306.xmls</t>
  </si>
  <si>
    <t>【倉庫】テーブル定義書202305.xlsxの入出庫回数を「io_count」へ変更しました。ご提案通りの対応でお願いいたします。</t>
  </si>
  <si>
    <t>篠崎</t>
  </si>
  <si>
    <t>入出庫情報登録</t>
    <rPh sb="0" eb="3">
      <t>ニュウシュッコ</t>
    </rPh>
    <rPh sb="3" eb="5">
      <t>ジョウホウ</t>
    </rPh>
    <rPh sb="5" eb="7">
      <t>トウロク</t>
    </rPh>
    <phoneticPr fontId="28"/>
  </si>
  <si>
    <t>基本設計書_入出庫登録画面(篠崎).xmls</t>
    <phoneticPr fontId="28"/>
  </si>
  <si>
    <t>画面レイアウト</t>
    <rPh sb="0" eb="2">
      <t>ガメン</t>
    </rPh>
    <phoneticPr fontId="28"/>
  </si>
  <si>
    <t>入出庫タイプですが、プルダウン形式より、「〇入庫　〇出庫」　のようにラジオボックスにしたほうが選択しやすくて使いやすくなるのではと思いますが、いかがでしょうか。</t>
    <rPh sb="0" eb="3">
      <t>ニュウシュッコ</t>
    </rPh>
    <rPh sb="15" eb="17">
      <t>ケイシキ</t>
    </rPh>
    <rPh sb="22" eb="24">
      <t>ニュウコ</t>
    </rPh>
    <rPh sb="26" eb="28">
      <t>シュッコ</t>
    </rPh>
    <rPh sb="47" eb="49">
      <t>センタク</t>
    </rPh>
    <rPh sb="54" eb="55">
      <t>ツカ</t>
    </rPh>
    <rPh sb="65" eb="66">
      <t>オモ</t>
    </rPh>
    <phoneticPr fontId="28"/>
  </si>
  <si>
    <t>ログイン画面</t>
    <rPh sb="4" eb="6">
      <t>ガメン</t>
    </rPh>
    <phoneticPr fontId="28"/>
  </si>
  <si>
    <t>詳細設計書</t>
    <rPh sb="0" eb="5">
      <t>ショウサイセッケイショ</t>
    </rPh>
    <phoneticPr fontId="28"/>
  </si>
  <si>
    <t>エラーメッセージ「社員IDが間違っています、再度入力しなおしてください。」が表示しますが、「社員IDが間違っています、再度入力してください。」の方が正しいとおもいますが、いかがでしょうか。</t>
    <rPh sb="72" eb="73">
      <t>ホウ</t>
    </rPh>
    <rPh sb="74" eb="75">
      <t>タダ</t>
    </rPh>
    <phoneticPr fontId="28"/>
  </si>
  <si>
    <t>張秋実</t>
    <rPh sb="0" eb="3">
      <t>ハリアキジツ</t>
    </rPh>
    <phoneticPr fontId="2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</si>
</sst>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1" formatCode="_ * #,##0_ ;_ * \-#,##0_ ;_ * &quot;-&quot;_ ;_ @_ "/>
    <numFmt numFmtId="43" formatCode="_ * #,##0.00_ ;_ * \-#,##0.00_ ;_ * &quot;-&quot;??_ ;_ @_ "/>
    <numFmt numFmtId="176" formatCode="&quot;$&quot;#,##0_);[Red]\(&quot;$&quot;#,##0\)"/>
    <numFmt numFmtId="177" formatCode="&quot;$&quot;#,##0.00_);[Red]\(&quot;$&quot;#,##0.00\)"/>
    <numFmt numFmtId="178" formatCode="m&quot;月&quot;d&quot;日&quot;;@"/>
    <numFmt numFmtId="179" formatCode="#,##0;\-#,##0;"/>
    <numFmt numFmtId="180" formatCode="m&quot;月&quot;d&quot;日&quot;;;"/>
    <numFmt numFmtId="181" formatCode="m/d\ aaa"/>
    <numFmt numFmtId="182" formatCode="d"/>
    <numFmt numFmtId="183" formatCode="#,##0;\-#,##0;&quot;-&quot;"/>
    <numFmt numFmtId="184" formatCode="_ * #,##0_ ;_ * &quot;¥&quot;&quot;¥&quot;&quot;¥&quot;&quot;¥&quot;&quot;¥&quot;&quot;¥&quot;\-#,##0_ ;_ * &quot;-&quot;_ ;_ @_ "/>
    <numFmt numFmtId="185" formatCode="d\.m\.yy"/>
    <numFmt numFmtId="186" formatCode="d\.mmm"/>
    <numFmt numFmtId="187" formatCode="&quot;$&quot;#,##0.0_);\(&quot;$&quot;#,##0.0\)"/>
    <numFmt numFmtId="188" formatCode="#,##0.00&quot; F&quot;_);\(#,##0.00&quot; F&quot;\)"/>
    <numFmt numFmtId="189" formatCode="#,##0&quot; $&quot;;\-#,##0&quot; $&quot;"/>
    <numFmt numFmtId="190" formatCode="yy/m/d"/>
    <numFmt numFmtId="191" formatCode="#,##0&quot; &quot;;[Red]&quot;▲&quot;#,##0&quot; &quot;"/>
    <numFmt numFmtId="192" formatCode="#,##0_ "/>
    <numFmt numFmtId="193" formatCode="&quot;¥&quot;#,##0.00;[Red]\-&quot;¥&quot;#,##0.00"/>
    <numFmt numFmtId="194" formatCode="&quot;¥&quot;#,##0;[Red]\-&quot;¥&quot;#,##0"/>
  </numFmts>
  <fonts count="30">
    <font>
      <sz val="11"/>
      <name val="ＭＳ Ｐゴシック"/>
      <family val="3"/>
      <charset val="128"/>
    </font>
    <font>
      <sz val="11"/>
      <name val="ＭＳ Ｐゴシック"/>
      <family val="3"/>
      <charset val="128"/>
    </font>
    <font>
      <sz val="6"/>
      <name val="ＭＳ Ｐゴシック"/>
      <family val="3"/>
      <charset val="128"/>
    </font>
    <font>
      <sz val="10"/>
      <name val="Arial"/>
      <family val="2"/>
    </font>
    <font>
      <sz val="11"/>
      <name val="ＭＳ Ｐ明朝"/>
      <family val="1"/>
      <charset val="128"/>
    </font>
    <font>
      <b/>
      <sz val="11"/>
      <name val="ＭＳ Ｐゴシック"/>
      <family val="3"/>
      <charset val="128"/>
    </font>
    <font>
      <sz val="11"/>
      <name val="ＭＳ Ｐゴシック"/>
      <family val="3"/>
      <charset val="128"/>
    </font>
    <font>
      <sz val="10"/>
      <name val="ＭＳ Ｐゴシック"/>
      <family val="3"/>
      <charset val="128"/>
    </font>
    <font>
      <sz val="10"/>
      <name val="NSimSun"/>
      <family val="3"/>
      <charset val="134"/>
    </font>
    <font>
      <sz val="10"/>
      <color indexed="8"/>
      <name val="ＭＳ Ｐゴシック"/>
      <family val="3"/>
      <charset val="128"/>
    </font>
    <font>
      <sz val="12"/>
      <name val="ＭＳ 明朝"/>
      <family val="1"/>
      <charset val="128"/>
    </font>
    <font>
      <sz val="10"/>
      <color indexed="8"/>
      <name val="Arial"/>
      <family val="2"/>
    </font>
    <font>
      <sz val="10"/>
      <name val="MS Sans Serif"/>
      <family val="2"/>
    </font>
    <font>
      <sz val="11"/>
      <name val="ＭＳ ゴシック"/>
      <family val="3"/>
      <charset val="128"/>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b/>
      <sz val="10"/>
      <name val="MS Sans Serif"/>
      <family val="2"/>
    </font>
    <font>
      <sz val="8"/>
      <color indexed="16"/>
      <name val="Century Schoolbook"/>
      <family val="1"/>
    </font>
    <font>
      <b/>
      <i/>
      <sz val="10"/>
      <name val="Times New Roman"/>
      <family val="1"/>
    </font>
    <font>
      <b/>
      <sz val="11"/>
      <name val="Helv"/>
      <family val="2"/>
    </font>
    <font>
      <b/>
      <sz val="9"/>
      <name val="Times New Roman"/>
      <family val="1"/>
    </font>
    <font>
      <sz val="10"/>
      <name val="ＭＳ 明朝"/>
      <family val="1"/>
      <charset val="128"/>
    </font>
    <font>
      <sz val="9"/>
      <color indexed="8"/>
      <name val="ＭＳ Ｐゴシック"/>
      <family val="3"/>
      <charset val="128"/>
    </font>
    <font>
      <sz val="14"/>
      <name val="ＭＳ 明朝"/>
      <family val="1"/>
      <charset val="128"/>
    </font>
    <font>
      <sz val="11"/>
      <name val="돋움"/>
      <family val="2"/>
      <charset val="129"/>
    </font>
    <font>
      <sz val="6.9"/>
      <name val="ＭＳ Ｐゴシック"/>
      <family val="3"/>
      <charset val="128"/>
    </font>
    <font>
      <sz val="11"/>
      <color rgb="FF000000"/>
      <name val="ＭＳ Ｐゴシック"/>
      <family val="3"/>
      <charset val="128"/>
    </font>
  </fonts>
  <fills count="8">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55"/>
        <bgColor indexed="64"/>
      </patternFill>
    </fill>
  </fills>
  <borders count="14">
    <border>
      <left/>
      <right/>
      <top/>
      <bottom/>
      <diagonal/>
    </border>
    <border diagonalUp="1" diagonalDown="1">
      <left/>
      <right/>
      <top/>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60">
    <xf numFmtId="0" fontId="0"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1" fillId="0" borderId="0"/>
    <xf numFmtId="0" fontId="10" fillId="0" borderId="2" applyNumberFormat="0" applyFont="0" applyFill="0" applyAlignment="0" applyProtection="0"/>
    <xf numFmtId="183" fontId="11" fillId="0" borderId="0" applyFill="0" applyBorder="0" applyAlignment="0"/>
    <xf numFmtId="38" fontId="12" fillId="0" borderId="0" applyFont="0" applyFill="0" applyBorder="0" applyAlignment="0" applyProtection="0"/>
    <xf numFmtId="176" fontId="12" fillId="0" borderId="0" applyFont="0" applyFill="0" applyBorder="0" applyAlignment="0" applyProtection="0"/>
    <xf numFmtId="184" fontId="13" fillId="0" borderId="0"/>
    <xf numFmtId="0" fontId="14" fillId="0" borderId="0">
      <alignment horizontal="left"/>
    </xf>
    <xf numFmtId="38" fontId="15" fillId="2" borderId="0" applyNumberFormat="0" applyBorder="0" applyAlignment="0" applyProtection="0"/>
    <xf numFmtId="0" fontId="16" fillId="0" borderId="3" applyNumberFormat="0" applyAlignment="0" applyProtection="0">
      <alignment horizontal="left" vertical="center"/>
    </xf>
    <xf numFmtId="0" fontId="16" fillId="0" borderId="4">
      <alignment horizontal="left" vertical="center"/>
    </xf>
    <xf numFmtId="0" fontId="17" fillId="0" borderId="0" applyBorder="0"/>
    <xf numFmtId="10" fontId="15" fillId="3" borderId="5" applyNumberFormat="0" applyBorder="0" applyAlignment="0" applyProtection="0"/>
    <xf numFmtId="0" fontId="17" fillId="0" borderId="0"/>
    <xf numFmtId="185" fontId="18" fillId="0" borderId="0" applyFont="0" applyFill="0" applyBorder="0" applyAlignment="0" applyProtection="0"/>
    <xf numFmtId="186" fontId="18"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76" fontId="12" fillId="0" borderId="0" applyFont="0" applyFill="0" applyBorder="0" applyAlignment="0" applyProtection="0"/>
    <xf numFmtId="177" fontId="12" fillId="0" borderId="0" applyFont="0" applyFill="0" applyBorder="0" applyAlignment="0" applyProtection="0"/>
    <xf numFmtId="187" fontId="18" fillId="0" borderId="0"/>
    <xf numFmtId="0" fontId="3" fillId="0" borderId="0"/>
    <xf numFmtId="10" fontId="3" fillId="0" borderId="0" applyFont="0" applyFill="0" applyBorder="0" applyAlignment="0" applyProtection="0"/>
    <xf numFmtId="4" fontId="14" fillId="0" borderId="0">
      <alignment horizontal="right"/>
    </xf>
    <xf numFmtId="0" fontId="12" fillId="0" borderId="0" applyNumberFormat="0" applyFont="0" applyFill="0" applyBorder="0" applyAlignment="0" applyProtection="0">
      <alignment horizontal="left"/>
    </xf>
    <xf numFmtId="0" fontId="19" fillId="0" borderId="6">
      <alignment horizontal="center"/>
    </xf>
    <xf numFmtId="4" fontId="20" fillId="0" borderId="0">
      <alignment horizontal="right"/>
    </xf>
    <xf numFmtId="0" fontId="21" fillId="0" borderId="0">
      <alignment horizontal="left"/>
    </xf>
    <xf numFmtId="0" fontId="12" fillId="0" borderId="0"/>
    <xf numFmtId="0" fontId="22" fillId="0" borderId="0"/>
    <xf numFmtId="0" fontId="23" fillId="0" borderId="0">
      <alignment horizontal="center"/>
    </xf>
    <xf numFmtId="188" fontId="18" fillId="0" borderId="0" applyFont="0" applyFill="0" applyBorder="0" applyAlignment="0" applyProtection="0"/>
    <xf numFmtId="189" fontId="18" fillId="0" borderId="0" applyFont="0" applyFill="0" applyBorder="0" applyAlignment="0" applyProtection="0"/>
    <xf numFmtId="190" fontId="17" fillId="0" borderId="0" applyNumberFormat="0">
      <alignment vertical="center"/>
    </xf>
    <xf numFmtId="0" fontId="3" fillId="0" borderId="0"/>
    <xf numFmtId="49" fontId="1" fillId="4" borderId="7">
      <alignment horizontal="center" vertical="center" wrapText="1"/>
    </xf>
    <xf numFmtId="0" fontId="1" fillId="0" borderId="8"/>
    <xf numFmtId="0" fontId="24" fillId="0" borderId="0">
      <alignment vertical="center"/>
    </xf>
    <xf numFmtId="43" fontId="25" fillId="0" borderId="0" applyFont="0" applyFill="0" applyBorder="0" applyAlignment="0" applyProtection="0"/>
    <xf numFmtId="41" fontId="25" fillId="0" borderId="0" applyFont="0" applyFill="0" applyBorder="0" applyAlignment="0" applyProtection="0"/>
    <xf numFmtId="191" fontId="1" fillId="0" borderId="0" applyFont="0" applyFill="0" applyBorder="0" applyProtection="0">
      <alignment vertical="center"/>
    </xf>
    <xf numFmtId="192" fontId="7" fillId="5" borderId="9">
      <alignment horizontal="right"/>
    </xf>
    <xf numFmtId="193" fontId="1" fillId="0" borderId="0" applyFont="0" applyFill="0" applyBorder="0" applyAlignment="0" applyProtection="0"/>
    <xf numFmtId="194" fontId="1" fillId="0" borderId="0" applyFont="0" applyFill="0" applyBorder="0" applyAlignment="0" applyProtection="0"/>
    <xf numFmtId="0" fontId="1" fillId="0" borderId="0"/>
    <xf numFmtId="0" fontId="1"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0"/>
    <xf numFmtId="0" fontId="1" fillId="0" borderId="0"/>
    <xf numFmtId="0" fontId="1" fillId="0" borderId="0">
      <alignment vertical="center"/>
    </xf>
    <xf numFmtId="1" fontId="26" fillId="0" borderId="0"/>
    <xf numFmtId="0" fontId="27" fillId="0" borderId="0"/>
  </cellStyleXfs>
  <cellXfs count="51">
    <xf numFmtId="0" fontId="0" fillId="0" borderId="0" xfId="0"/>
    <xf numFmtId="0" fontId="5" fillId="4" borderId="5" xfId="6" applyFont="1" applyFill="1" applyBorder="1" applyAlignment="1">
      <alignment horizontal="center" vertical="center" wrapText="1"/>
    </xf>
    <xf numFmtId="0" fontId="5" fillId="0" borderId="0" xfId="6" applyFont="1" applyAlignment="1">
      <alignment horizontal="center" vertical="center"/>
    </xf>
    <xf numFmtId="178" fontId="5" fillId="4" borderId="5" xfId="6" applyNumberFormat="1" applyFont="1" applyFill="1" applyBorder="1" applyAlignment="1">
      <alignment horizontal="center" vertical="center" wrapText="1"/>
    </xf>
    <xf numFmtId="179" fontId="4" fillId="0" borderId="5" xfId="6" applyNumberFormat="1" applyFont="1" applyBorder="1" applyAlignment="1">
      <alignment horizontal="left" vertical="top" wrapText="1"/>
    </xf>
    <xf numFmtId="180" fontId="4" fillId="0" borderId="5" xfId="6" applyNumberFormat="1" applyFont="1" applyBorder="1" applyAlignment="1">
      <alignment horizontal="left" vertical="top" wrapText="1"/>
    </xf>
    <xf numFmtId="179" fontId="5" fillId="6" borderId="5" xfId="6" applyNumberFormat="1" applyFont="1" applyFill="1" applyBorder="1" applyAlignment="1">
      <alignment horizontal="center" vertical="center" wrapText="1"/>
    </xf>
    <xf numFmtId="180" fontId="5" fillId="6" borderId="5" xfId="6" applyNumberFormat="1" applyFont="1" applyFill="1" applyBorder="1" applyAlignment="1">
      <alignment horizontal="center" vertical="center" wrapText="1"/>
    </xf>
    <xf numFmtId="179" fontId="5" fillId="6" borderId="5" xfId="6" applyNumberFormat="1" applyFont="1" applyFill="1" applyBorder="1" applyAlignment="1">
      <alignment horizontal="center" vertical="center"/>
    </xf>
    <xf numFmtId="0" fontId="5" fillId="0" borderId="10" xfId="6" applyFont="1" applyBorder="1" applyAlignment="1">
      <alignment horizontal="center" vertical="top" wrapText="1"/>
    </xf>
    <xf numFmtId="0" fontId="5" fillId="0" borderId="4" xfId="6" applyFont="1" applyBorder="1" applyAlignment="1">
      <alignment horizontal="center" vertical="top" wrapText="1"/>
    </xf>
    <xf numFmtId="0" fontId="5" fillId="0" borderId="11" xfId="6" applyFont="1" applyBorder="1" applyAlignment="1">
      <alignment horizontal="center" vertical="top" wrapText="1"/>
    </xf>
    <xf numFmtId="0" fontId="5" fillId="0" borderId="10" xfId="6" applyFont="1" applyBorder="1" applyAlignment="1">
      <alignment horizontal="left" vertical="top" wrapText="1"/>
    </xf>
    <xf numFmtId="0" fontId="5" fillId="0" borderId="4" xfId="6" applyFont="1" applyBorder="1" applyAlignment="1">
      <alignment horizontal="left" vertical="top" wrapText="1"/>
    </xf>
    <xf numFmtId="0" fontId="5" fillId="0" borderId="11" xfId="6" applyFont="1" applyBorder="1" applyAlignment="1">
      <alignment horizontal="left" vertical="top" wrapText="1"/>
    </xf>
    <xf numFmtId="179" fontId="1" fillId="0" borderId="0" xfId="6" applyNumberFormat="1"/>
    <xf numFmtId="179" fontId="1" fillId="0" borderId="0" xfId="6" applyNumberFormat="1" applyAlignment="1">
      <alignment horizontal="center"/>
    </xf>
    <xf numFmtId="180" fontId="1" fillId="0" borderId="0" xfId="6" applyNumberFormat="1" applyAlignment="1">
      <alignment horizontal="center"/>
    </xf>
    <xf numFmtId="178" fontId="1" fillId="0" borderId="0" xfId="6" applyNumberFormat="1"/>
    <xf numFmtId="0" fontId="1" fillId="0" borderId="0" xfId="6" applyAlignment="1">
      <alignment vertical="top" wrapText="1"/>
    </xf>
    <xf numFmtId="178" fontId="1" fillId="0" borderId="0" xfId="6" applyNumberFormat="1" applyAlignment="1">
      <alignment vertical="top" wrapText="1"/>
    </xf>
    <xf numFmtId="0" fontId="1" fillId="0" borderId="0" xfId="6"/>
    <xf numFmtId="0" fontId="6" fillId="0" borderId="0" xfId="6" applyFont="1"/>
    <xf numFmtId="179" fontId="6" fillId="0" borderId="0" xfId="6" applyNumberFormat="1" applyFont="1"/>
    <xf numFmtId="179" fontId="6" fillId="0" borderId="0" xfId="6" applyNumberFormat="1" applyFont="1" applyAlignment="1">
      <alignment horizontal="center"/>
    </xf>
    <xf numFmtId="180" fontId="6" fillId="0" borderId="0" xfId="6" applyNumberFormat="1" applyFont="1" applyAlignment="1">
      <alignment horizontal="center"/>
    </xf>
    <xf numFmtId="179" fontId="1" fillId="0" borderId="5" xfId="6" applyNumberFormat="1" applyBorder="1" applyAlignment="1">
      <alignment vertical="top" wrapText="1"/>
    </xf>
    <xf numFmtId="181" fontId="1" fillId="0" borderId="12" xfId="6" applyNumberFormat="1" applyBorder="1" applyAlignment="1">
      <alignment horizontal="center" vertical="top"/>
    </xf>
    <xf numFmtId="0" fontId="7" fillId="0" borderId="5" xfId="6" applyFont="1" applyBorder="1" applyAlignment="1">
      <alignment horizontal="left"/>
    </xf>
    <xf numFmtId="0" fontId="7" fillId="0" borderId="5" xfId="6" applyFont="1" applyBorder="1"/>
    <xf numFmtId="0" fontId="7" fillId="0" borderId="5" xfId="57" applyFont="1" applyBorder="1" applyAlignment="1">
      <alignment horizontal="left" vertical="center" wrapText="1"/>
    </xf>
    <xf numFmtId="0" fontId="8" fillId="0" borderId="5" xfId="6" applyFont="1" applyBorder="1"/>
    <xf numFmtId="182" fontId="7" fillId="6" borderId="5" xfId="56" applyNumberFormat="1" applyFont="1" applyFill="1" applyBorder="1" applyAlignment="1">
      <alignment horizontal="center" vertical="center"/>
    </xf>
    <xf numFmtId="0" fontId="0" fillId="0" borderId="5" xfId="6" applyFont="1" applyBorder="1"/>
    <xf numFmtId="0" fontId="0" fillId="0" borderId="5" xfId="6" applyFont="1" applyBorder="1" applyAlignment="1">
      <alignment horizontal="center"/>
    </xf>
    <xf numFmtId="0" fontId="9" fillId="0" borderId="5" xfId="6" applyFont="1" applyBorder="1"/>
    <xf numFmtId="0" fontId="0" fillId="0" borderId="5" xfId="6" applyFont="1" applyBorder="1" applyAlignment="1">
      <alignment horizontal="left"/>
    </xf>
    <xf numFmtId="0" fontId="1" fillId="0" borderId="5" xfId="6" applyBorder="1" applyAlignment="1">
      <alignment vertical="top" wrapText="1"/>
    </xf>
    <xf numFmtId="0" fontId="1" fillId="0" borderId="13" xfId="6" applyBorder="1" applyAlignment="1">
      <alignment vertical="top" wrapText="1"/>
    </xf>
    <xf numFmtId="180" fontId="1" fillId="0" borderId="5" xfId="6" applyNumberFormat="1" applyBorder="1" applyAlignment="1">
      <alignment horizontal="center" vertical="top" wrapText="1"/>
    </xf>
    <xf numFmtId="179" fontId="1" fillId="0" borderId="5" xfId="6" applyNumberFormat="1" applyBorder="1" applyAlignment="1">
      <alignment horizontal="center" vertical="top" wrapText="1"/>
    </xf>
    <xf numFmtId="179" fontId="1" fillId="0" borderId="0" xfId="6" applyNumberFormat="1" applyAlignment="1">
      <alignment horizontal="left"/>
    </xf>
    <xf numFmtId="179" fontId="1" fillId="0" borderId="5" xfId="6" applyNumberFormat="1" applyBorder="1" applyAlignment="1">
      <alignment horizontal="left" vertical="top" wrapText="1"/>
    </xf>
    <xf numFmtId="179" fontId="6" fillId="0" borderId="0" xfId="6" applyNumberFormat="1" applyFont="1" applyAlignment="1">
      <alignment horizontal="left"/>
    </xf>
    <xf numFmtId="0" fontId="0" fillId="0" borderId="5" xfId="1" applyFont="1" applyBorder="1" applyAlignment="1" applyProtection="1"/>
    <xf numFmtId="179" fontId="1" fillId="0" borderId="0" xfId="6" applyNumberFormat="1" applyAlignment="1">
      <alignment vertical="top"/>
    </xf>
    <xf numFmtId="0" fontId="5" fillId="0" borderId="4" xfId="6" applyFont="1" applyBorder="1" applyAlignment="1">
      <alignment vertical="top" wrapText="1"/>
    </xf>
    <xf numFmtId="179" fontId="5" fillId="6" borderId="5" xfId="6" applyNumberFormat="1" applyFont="1" applyFill="1" applyBorder="1" applyAlignment="1">
      <alignment vertical="top" wrapText="1"/>
    </xf>
    <xf numFmtId="179" fontId="6" fillId="0" borderId="0" xfId="6" applyNumberFormat="1" applyFont="1" applyAlignment="1">
      <alignment vertical="top"/>
    </xf>
    <xf numFmtId="0" fontId="0" fillId="7" borderId="5" xfId="1" applyFont="1" applyFill="1" applyBorder="1" applyAlignment="1" applyProtection="1">
      <alignment horizontal="center"/>
    </xf>
    <xf numFmtId="0" fontId="29" fillId="0" borderId="5" xfId="0" applyFont="1" applyBorder="1" applyAlignment="1">
      <alignment vertical="top" wrapText="1"/>
    </xf>
  </cellXfs>
  <cellStyles count="60">
    <cellStyle name="%" xfId="1" xr:uid="{00000000-0005-0000-0000-000000000000}"/>
    <cellStyle name="% 2" xfId="2" xr:uid="{00000000-0005-0000-0000-000001000000}"/>
    <cellStyle name="% 3" xfId="3" xr:uid="{00000000-0005-0000-0000-000002000000}"/>
    <cellStyle name="%_QA管理台帳" xfId="4" xr:uid="{00000000-0005-0000-0000-000003000000}"/>
    <cellStyle name="%_sst1852" xfId="5" xr:uid="{00000000-0005-0000-0000-000004000000}"/>
    <cellStyle name="0,0_x000d__x000a_NA_x000d__x000a_" xfId="6" xr:uid="{00000000-0005-0000-0000-000005000000}"/>
    <cellStyle name="121" xfId="7" xr:uid="{00000000-0005-0000-0000-000006000000}"/>
    <cellStyle name="Calc Currency (0)" xfId="8" xr:uid="{00000000-0005-0000-0000-000007000000}"/>
    <cellStyle name="Comma [0]" xfId="9" xr:uid="{00000000-0005-0000-0000-000008000000}"/>
    <cellStyle name="Currency [0]" xfId="10" xr:uid="{00000000-0005-0000-0000-000009000000}"/>
    <cellStyle name="Currency1" xfId="11" xr:uid="{00000000-0005-0000-0000-00000A000000}"/>
    <cellStyle name="entry" xfId="12" xr:uid="{00000000-0005-0000-0000-00000B000000}"/>
    <cellStyle name="Grey" xfId="13" xr:uid="{00000000-0005-0000-0000-00000C000000}"/>
    <cellStyle name="Header1" xfId="14" xr:uid="{00000000-0005-0000-0000-00000D000000}"/>
    <cellStyle name="Header2" xfId="15" xr:uid="{00000000-0005-0000-0000-00000E000000}"/>
    <cellStyle name="IBM(401K)" xfId="16" xr:uid="{00000000-0005-0000-0000-00000F000000}"/>
    <cellStyle name="Input [yellow]" xfId="17" xr:uid="{00000000-0005-0000-0000-000010000000}"/>
    <cellStyle name="J401K" xfId="18" xr:uid="{00000000-0005-0000-0000-000011000000}"/>
    <cellStyle name="Komma [0]_laroux" xfId="19" xr:uid="{00000000-0005-0000-0000-000012000000}"/>
    <cellStyle name="Komma_laroux" xfId="20" xr:uid="{00000000-0005-0000-0000-000013000000}"/>
    <cellStyle name="Milliers [0]_AR1194" xfId="21" xr:uid="{00000000-0005-0000-0000-000014000000}"/>
    <cellStyle name="Milliers_AR1194" xfId="22" xr:uid="{00000000-0005-0000-0000-000015000000}"/>
    <cellStyle name="Mon騁aire [0]_AR1194" xfId="23" xr:uid="{00000000-0005-0000-0000-000016000000}"/>
    <cellStyle name="Mon騁aire_AR1194" xfId="24" xr:uid="{00000000-0005-0000-0000-000017000000}"/>
    <cellStyle name="Normal - Style1" xfId="25" xr:uid="{00000000-0005-0000-0000-000018000000}"/>
    <cellStyle name="Normal_#18-Internet" xfId="26" xr:uid="{00000000-0005-0000-0000-000019000000}"/>
    <cellStyle name="Percent [2]" xfId="27" xr:uid="{00000000-0005-0000-0000-00001A000000}"/>
    <cellStyle name="price" xfId="28" xr:uid="{00000000-0005-0000-0000-00001B000000}"/>
    <cellStyle name="PSChar" xfId="29" xr:uid="{00000000-0005-0000-0000-00001C000000}"/>
    <cellStyle name="PSHeading" xfId="30" xr:uid="{00000000-0005-0000-0000-00001D000000}"/>
    <cellStyle name="revised" xfId="31" xr:uid="{00000000-0005-0000-0000-00001E000000}"/>
    <cellStyle name="section" xfId="32" xr:uid="{00000000-0005-0000-0000-00001F000000}"/>
    <cellStyle name="Standaard_laroux" xfId="33" xr:uid="{00000000-0005-0000-0000-000020000000}"/>
    <cellStyle name="subhead" xfId="34" xr:uid="{00000000-0005-0000-0000-000021000000}"/>
    <cellStyle name="title" xfId="35" xr:uid="{00000000-0005-0000-0000-000022000000}"/>
    <cellStyle name="Valuta [0]_laroux" xfId="36" xr:uid="{00000000-0005-0000-0000-000023000000}"/>
    <cellStyle name="Valuta_laroux" xfId="37" xr:uid="{00000000-0005-0000-0000-000024000000}"/>
    <cellStyle name="ｱﾍﾞﾝﾄﾞ一覧" xfId="38" xr:uid="{00000000-0005-0000-0000-000025000000}"/>
    <cellStyle name="スタイル 1" xfId="39" xr:uid="{00000000-0005-0000-0000-000026000000}"/>
    <cellStyle name="リソース表" xfId="40" xr:uid="{00000000-0005-0000-0000-000027000000}"/>
    <cellStyle name="標準 2" xfId="50" xr:uid="{00000000-0005-0000-0000-000032000000}"/>
    <cellStyle name="標準 3" xfId="51" xr:uid="{00000000-0005-0000-0000-000033000000}"/>
    <cellStyle name="標準 4" xfId="52" xr:uid="{00000000-0005-0000-0000-000034000000}"/>
    <cellStyle name="標準 5" xfId="53" xr:uid="{00000000-0005-0000-0000-000035000000}"/>
    <cellStyle name="標準 6" xfId="54" xr:uid="{00000000-0005-0000-0000-000036000000}"/>
    <cellStyle name="標準 7" xfId="55" xr:uid="{00000000-0005-0000-0000-000037000000}"/>
    <cellStyle name="標準_ＳＳ工程進捗管理表_ACSF-E003-02 チームスケジュール（ＰＴ工程)（イシュアバッチ）_PH1" xfId="56" xr:uid="{00000000-0005-0000-0000-000038000000}"/>
    <cellStyle name="標準_シェルID一覧" xfId="57" xr:uid="{00000000-0005-0000-0000-000039000000}"/>
    <cellStyle name="常规" xfId="0" builtinId="0"/>
    <cellStyle name="汎用" xfId="49" xr:uid="{00000000-0005-0000-0000-000030000000}"/>
    <cellStyle name="桁蟻唇Ｆ [0.00]_DATA" xfId="43" xr:uid="{00000000-0005-0000-0000-00002A000000}"/>
    <cellStyle name="桁蟻唇Ｆ_DATA" xfId="44" xr:uid="{00000000-0005-0000-0000-00002B000000}"/>
    <cellStyle name="脱浦 [0.00]_~0007176" xfId="47" xr:uid="{00000000-0005-0000-0000-00002E000000}"/>
    <cellStyle name="脱浦_~0007176" xfId="48" xr:uid="{00000000-0005-0000-0000-00002F000000}"/>
    <cellStyle name="未定義" xfId="58" xr:uid="{00000000-0005-0000-0000-00003A000000}"/>
    <cellStyle name="下点線" xfId="41" xr:uid="{00000000-0005-0000-0000-000028000000}"/>
    <cellStyle name="型番" xfId="42" xr:uid="{00000000-0005-0000-0000-000029000000}"/>
    <cellStyle name="整数値" xfId="45" xr:uid="{00000000-0005-0000-0000-00002C000000}"/>
    <cellStyle name="製品通知価格" xfId="46" xr:uid="{00000000-0005-0000-0000-00002D000000}"/>
    <cellStyle name="표준_Intec(QJ001350.cob)_Physical" xfId="59" xr:uid="{00000000-0005-0000-0000-00003B000000}"/>
  </cellStyles>
  <dxfs count="30">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5"/>
        </patternFill>
      </fill>
    </dxf>
    <dxf>
      <fill>
        <patternFill>
          <bgColor indexed="22"/>
        </patternFill>
      </fill>
    </dxf>
    <dxf>
      <fill>
        <patternFill>
          <bgColor indexed="45"/>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solid">
          <bgColor indexed="4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10/relationships/person" Target="persons/person0.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2413000</xdr:colOff>
          <xdr:row>3</xdr:row>
          <xdr:rowOff>12700</xdr:rowOff>
        </xdr:from>
        <xdr:to>
          <xdr:col>3</xdr:col>
          <xdr:colOff>3155950</xdr:colOff>
          <xdr:row>4</xdr:row>
          <xdr:rowOff>146050</xdr:rowOff>
        </xdr:to>
        <xdr:sp macro="" textlink="">
          <xdr:nvSpPr>
            <xdr:cNvPr id="3073" name="btnGet"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638175</xdr:colOff>
      <xdr:row>6</xdr:row>
      <xdr:rowOff>104775</xdr:rowOff>
    </xdr:from>
    <xdr:to>
      <xdr:col>11</xdr:col>
      <xdr:colOff>457200</xdr:colOff>
      <xdr:row>22</xdr:row>
      <xdr:rowOff>95250</xdr:rowOff>
    </xdr:to>
    <xdr:graphicFrame macro="">
      <xdr:nvGraphicFramePr>
        <xdr:cNvPr id="10667" name="Chart 1">
          <a:extLst>
            <a:ext uri="{FF2B5EF4-FFF2-40B4-BE49-F238E27FC236}">
              <a16:creationId xmlns:a16="http://schemas.microsoft.com/office/drawing/2014/main" id="{00000000-0008-0000-0100-0000AB29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okika_fs\home\MMMMY\&#20491;&#21029;&#38283;&#30330;&#36039;&#26009;\0001%20&#27770;&#31639;&#26089;&#26399;&#21270;\&#36914;&#25431;&#22577;&#21578;\_1doc\&#21442;&#32771;document\&#65403;&#65392;&#65419;&#65438;&#65403;&#65392;&#12288;&#65412;&#65438;&#65399;&#65389;&#65426;&#65437;&#65412;\2.2&#36939;&#29992;&#12473;&#12465;&#12472;&#12517;&#12540;&#12523;&#28155;&#20184;&#36039;&#26009;(&#12472;&#12519;&#12502;&#12501;&#12525;&#1254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Ks001kbk02k\20_PT&#12539;G&#65288;&#20849;&#21516;&#22522;&#24185;&#65289;\15_&#38283;&#30330;&#31649;&#29702;G\03_&#26989;&#21209;\06_&#12521;&#12452;&#12502;&#12521;&#12522;&#31649;&#29702;\&#20316;&#26989;\&#12518;&#12540;&#12470;&#12540;&#30331;&#37682;\&#28155;&#20184;10.&#20491;&#31038;&#38283;&#30330;&#36039;&#29987;&#31649;&#29702;&#12471;&#12473;&#12486;&#12512;&#12518;&#12540;&#12470;&#65293;&#24773;&#22577;&#30331;&#37682;&#12484;&#12540;&#125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運用設計書原紙"/>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ユーザー登録"/>
      <sheetName val="情報シート"/>
      <sheetName val="仕様説明"/>
    </sheetNames>
    <sheetDataSet>
      <sheetData sheetId="0"/>
      <sheetData sheetId="1">
        <row r="14">
          <cell r="B14" t="str">
            <v>新規</v>
          </cell>
        </row>
        <row r="15">
          <cell r="B15" t="str">
            <v>変更</v>
          </cell>
        </row>
        <row r="16">
          <cell r="B16" t="str">
            <v>廃止</v>
          </cell>
        </row>
      </sheetData>
      <sheetData sheetId="2"/>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9.bin"/><Relationship Id="rId13" Type="http://schemas.openxmlformats.org/officeDocument/2006/relationships/printerSettings" Target="../printerSettings/printerSettings14.bin"/><Relationship Id="rId18" Type="http://schemas.openxmlformats.org/officeDocument/2006/relationships/printerSettings" Target="../printerSettings/printerSettings19.bin"/><Relationship Id="rId26" Type="http://schemas.openxmlformats.org/officeDocument/2006/relationships/printerSettings" Target="../printerSettings/printerSettings27.bin"/><Relationship Id="rId3" Type="http://schemas.openxmlformats.org/officeDocument/2006/relationships/printerSettings" Target="../printerSettings/printerSettings4.bin"/><Relationship Id="rId21" Type="http://schemas.openxmlformats.org/officeDocument/2006/relationships/printerSettings" Target="../printerSettings/printerSettings22.bin"/><Relationship Id="rId7" Type="http://schemas.openxmlformats.org/officeDocument/2006/relationships/printerSettings" Target="../printerSettings/printerSettings8.bin"/><Relationship Id="rId12" Type="http://schemas.openxmlformats.org/officeDocument/2006/relationships/printerSettings" Target="../printerSettings/printerSettings13.bin"/><Relationship Id="rId17" Type="http://schemas.openxmlformats.org/officeDocument/2006/relationships/printerSettings" Target="../printerSettings/printerSettings18.bin"/><Relationship Id="rId25" Type="http://schemas.openxmlformats.org/officeDocument/2006/relationships/printerSettings" Target="../printerSettings/printerSettings26.bin"/><Relationship Id="rId2" Type="http://schemas.openxmlformats.org/officeDocument/2006/relationships/printerSettings" Target="../printerSettings/printerSettings3.bin"/><Relationship Id="rId16" Type="http://schemas.openxmlformats.org/officeDocument/2006/relationships/printerSettings" Target="../printerSettings/printerSettings17.bin"/><Relationship Id="rId20" Type="http://schemas.openxmlformats.org/officeDocument/2006/relationships/printerSettings" Target="../printerSettings/printerSettings21.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11" Type="http://schemas.openxmlformats.org/officeDocument/2006/relationships/printerSettings" Target="../printerSettings/printerSettings12.bin"/><Relationship Id="rId24" Type="http://schemas.openxmlformats.org/officeDocument/2006/relationships/printerSettings" Target="../printerSettings/printerSettings25.bin"/><Relationship Id="rId5" Type="http://schemas.openxmlformats.org/officeDocument/2006/relationships/printerSettings" Target="../printerSettings/printerSettings6.bin"/><Relationship Id="rId15" Type="http://schemas.openxmlformats.org/officeDocument/2006/relationships/printerSettings" Target="../printerSettings/printerSettings16.bin"/><Relationship Id="rId23" Type="http://schemas.openxmlformats.org/officeDocument/2006/relationships/printerSettings" Target="../printerSettings/printerSettings24.bin"/><Relationship Id="rId10" Type="http://schemas.openxmlformats.org/officeDocument/2006/relationships/printerSettings" Target="../printerSettings/printerSettings11.bin"/><Relationship Id="rId19" Type="http://schemas.openxmlformats.org/officeDocument/2006/relationships/printerSettings" Target="../printerSettings/printerSettings20.bin"/><Relationship Id="rId4" Type="http://schemas.openxmlformats.org/officeDocument/2006/relationships/printerSettings" Target="../printerSettings/printerSettings5.bin"/><Relationship Id="rId9" Type="http://schemas.openxmlformats.org/officeDocument/2006/relationships/printerSettings" Target="../printerSettings/printerSettings10.bin"/><Relationship Id="rId14" Type="http://schemas.openxmlformats.org/officeDocument/2006/relationships/printerSettings" Target="../printerSettings/printerSettings15.bin"/><Relationship Id="rId22"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4:G41"/>
  <sheetViews>
    <sheetView showGridLines="0" workbookViewId="0">
      <pane ySplit="11" topLeftCell="A12" activePane="bottomLeft" state="frozen"/>
      <selection pane="bottomLeft" activeCell="F12" sqref="F12:F40"/>
    </sheetView>
  </sheetViews>
  <sheetFormatPr defaultRowHeight="13"/>
  <cols>
    <col min="3" max="3" width="11" bestFit="1" customWidth="1"/>
    <col min="4" max="4" width="45.453125" bestFit="1" customWidth="1"/>
    <col min="5" max="5" width="10.90625" customWidth="1"/>
    <col min="6" max="6" width="4.7265625" bestFit="1" customWidth="1"/>
    <col min="7" max="7" width="28.6328125" bestFit="1" customWidth="1"/>
  </cols>
  <sheetData>
    <row r="4" spans="3:7">
      <c r="E4" s="33" t="s">
        <v>114</v>
      </c>
      <c r="F4" s="33">
        <v>57</v>
      </c>
    </row>
    <row r="5" spans="3:7">
      <c r="E5" s="33" t="s">
        <v>21</v>
      </c>
      <c r="F5" s="33">
        <v>7</v>
      </c>
    </row>
    <row r="6" spans="3:7">
      <c r="E6" s="33" t="s">
        <v>17</v>
      </c>
      <c r="F6" s="33">
        <v>7</v>
      </c>
    </row>
    <row r="11" spans="3:7">
      <c r="C11" s="32" t="s">
        <v>78</v>
      </c>
      <c r="D11" s="32" t="s">
        <v>57</v>
      </c>
      <c r="E11" s="32" t="s">
        <v>58</v>
      </c>
      <c r="F11" s="32" t="s">
        <v>39</v>
      </c>
      <c r="G11" s="32" t="s">
        <v>22</v>
      </c>
    </row>
    <row r="12" spans="3:7">
      <c r="C12" s="35" t="s">
        <v>87</v>
      </c>
      <c r="D12" s="28" t="s">
        <v>28</v>
      </c>
      <c r="E12" s="29" t="s">
        <v>19</v>
      </c>
      <c r="F12" s="34">
        <v>4</v>
      </c>
      <c r="G12" s="36" t="s">
        <v>40</v>
      </c>
    </row>
    <row r="13" spans="3:7">
      <c r="C13" s="29" t="s">
        <v>14</v>
      </c>
      <c r="D13" s="29" t="s">
        <v>46</v>
      </c>
      <c r="E13" s="29"/>
      <c r="F13" s="34">
        <v>0</v>
      </c>
      <c r="G13" s="36"/>
    </row>
    <row r="14" spans="3:7" ht="13.5">
      <c r="C14" s="29" t="s">
        <v>112</v>
      </c>
      <c r="D14" s="29" t="s">
        <v>47</v>
      </c>
      <c r="E14" s="31"/>
      <c r="F14" s="34">
        <v>0</v>
      </c>
      <c r="G14" s="36"/>
    </row>
    <row r="15" spans="3:7">
      <c r="C15" s="29" t="s">
        <v>113</v>
      </c>
      <c r="D15" s="29" t="s">
        <v>48</v>
      </c>
      <c r="E15" s="29" t="s">
        <v>13</v>
      </c>
      <c r="F15" s="34">
        <v>2</v>
      </c>
      <c r="G15" s="36" t="s">
        <v>79</v>
      </c>
    </row>
    <row r="16" spans="3:7">
      <c r="C16" s="29" t="s">
        <v>43</v>
      </c>
      <c r="D16" s="29" t="s">
        <v>28</v>
      </c>
      <c r="E16" s="29"/>
      <c r="F16" s="34">
        <v>0</v>
      </c>
      <c r="G16" s="36"/>
    </row>
    <row r="17" spans="3:7">
      <c r="C17" s="29" t="s">
        <v>106</v>
      </c>
      <c r="D17" s="29" t="s">
        <v>49</v>
      </c>
      <c r="E17" s="29"/>
      <c r="F17" s="34">
        <v>0</v>
      </c>
      <c r="G17" s="36"/>
    </row>
    <row r="18" spans="3:7">
      <c r="C18" s="29" t="s">
        <v>85</v>
      </c>
      <c r="D18" s="29" t="s">
        <v>50</v>
      </c>
      <c r="E18" s="29"/>
      <c r="F18" s="34">
        <v>0</v>
      </c>
      <c r="G18" s="36"/>
    </row>
    <row r="19" spans="3:7">
      <c r="C19" s="29" t="s">
        <v>115</v>
      </c>
      <c r="D19" s="29" t="s">
        <v>5</v>
      </c>
      <c r="E19" s="29"/>
      <c r="F19" s="34">
        <v>0</v>
      </c>
      <c r="G19" s="36"/>
    </row>
    <row r="20" spans="3:7">
      <c r="C20" s="29" t="s">
        <v>6</v>
      </c>
      <c r="D20" s="29" t="s">
        <v>64</v>
      </c>
      <c r="E20" s="29" t="s">
        <v>44</v>
      </c>
      <c r="F20" s="34">
        <v>5</v>
      </c>
      <c r="G20" s="36" t="s">
        <v>80</v>
      </c>
    </row>
    <row r="21" spans="3:7">
      <c r="C21" s="35" t="s">
        <v>7</v>
      </c>
      <c r="D21" s="29" t="s">
        <v>65</v>
      </c>
      <c r="E21" s="29"/>
      <c r="F21" s="34">
        <v>0</v>
      </c>
      <c r="G21" s="36"/>
    </row>
    <row r="22" spans="3:7">
      <c r="C22" s="29" t="s">
        <v>77</v>
      </c>
      <c r="D22" s="29" t="s">
        <v>66</v>
      </c>
      <c r="E22" s="29"/>
      <c r="F22" s="34">
        <v>0</v>
      </c>
      <c r="G22" s="36"/>
    </row>
    <row r="23" spans="3:7">
      <c r="C23" s="29" t="s">
        <v>27</v>
      </c>
      <c r="D23" s="29" t="s">
        <v>55</v>
      </c>
      <c r="E23" s="29" t="s">
        <v>45</v>
      </c>
      <c r="F23" s="34">
        <v>2</v>
      </c>
      <c r="G23" s="36" t="s">
        <v>81</v>
      </c>
    </row>
    <row r="24" spans="3:7">
      <c r="C24" s="35" t="s">
        <v>67</v>
      </c>
      <c r="D24" s="29" t="s">
        <v>123</v>
      </c>
      <c r="E24" s="29" t="s">
        <v>18</v>
      </c>
      <c r="F24" s="34">
        <v>10</v>
      </c>
      <c r="G24" s="36" t="s">
        <v>129</v>
      </c>
    </row>
    <row r="25" spans="3:7">
      <c r="C25" s="35" t="s">
        <v>90</v>
      </c>
      <c r="D25" s="29" t="s">
        <v>54</v>
      </c>
      <c r="E25" s="29"/>
      <c r="F25" s="34">
        <v>0</v>
      </c>
      <c r="G25" s="36"/>
    </row>
    <row r="26" spans="3:7">
      <c r="C26" s="29" t="s">
        <v>91</v>
      </c>
      <c r="D26" s="29" t="s">
        <v>76</v>
      </c>
      <c r="E26" s="29"/>
      <c r="F26" s="34">
        <v>0</v>
      </c>
      <c r="G26" s="36"/>
    </row>
    <row r="27" spans="3:7">
      <c r="C27" s="29" t="s">
        <v>92</v>
      </c>
      <c r="D27" s="29" t="s">
        <v>69</v>
      </c>
      <c r="E27" s="29" t="s">
        <v>68</v>
      </c>
      <c r="F27" s="34">
        <v>4</v>
      </c>
      <c r="G27" s="36" t="s">
        <v>61</v>
      </c>
    </row>
    <row r="28" spans="3:7">
      <c r="C28" s="29" t="s">
        <v>74</v>
      </c>
      <c r="D28" s="29" t="s">
        <v>102</v>
      </c>
      <c r="E28" s="29" t="s">
        <v>24</v>
      </c>
      <c r="F28" s="34">
        <v>3</v>
      </c>
      <c r="G28" s="36" t="s">
        <v>99</v>
      </c>
    </row>
    <row r="29" spans="3:7" ht="13.5">
      <c r="C29" s="35" t="s">
        <v>100</v>
      </c>
      <c r="D29" s="29" t="s">
        <v>103</v>
      </c>
      <c r="E29" s="31"/>
      <c r="F29" s="34">
        <v>0</v>
      </c>
      <c r="G29" s="36"/>
    </row>
    <row r="30" spans="3:7">
      <c r="C30" s="35" t="s">
        <v>101</v>
      </c>
      <c r="D30" s="29" t="s">
        <v>104</v>
      </c>
      <c r="E30" s="29" t="s">
        <v>88</v>
      </c>
      <c r="F30" s="34">
        <v>2</v>
      </c>
      <c r="G30" s="36" t="s">
        <v>62</v>
      </c>
    </row>
    <row r="31" spans="3:7">
      <c r="C31" s="29" t="s">
        <v>33</v>
      </c>
      <c r="D31" s="29" t="s">
        <v>105</v>
      </c>
      <c r="E31" s="29" t="s">
        <v>88</v>
      </c>
      <c r="F31" s="34">
        <v>1</v>
      </c>
      <c r="G31" s="36">
        <v>48</v>
      </c>
    </row>
    <row r="32" spans="3:7">
      <c r="C32" s="29" t="s">
        <v>34</v>
      </c>
      <c r="D32" s="29" t="s">
        <v>70</v>
      </c>
      <c r="E32" s="29" t="s">
        <v>88</v>
      </c>
      <c r="F32" s="34">
        <v>1</v>
      </c>
      <c r="G32" s="36">
        <v>49</v>
      </c>
    </row>
    <row r="33" spans="3:7">
      <c r="C33" s="29" t="s">
        <v>35</v>
      </c>
      <c r="D33" s="29" t="s">
        <v>71</v>
      </c>
      <c r="E33" s="29"/>
      <c r="F33" s="34">
        <v>0</v>
      </c>
      <c r="G33" s="36"/>
    </row>
    <row r="34" spans="3:7">
      <c r="C34" s="29" t="s">
        <v>36</v>
      </c>
      <c r="D34" s="29" t="s">
        <v>1</v>
      </c>
      <c r="E34" s="29"/>
      <c r="F34" s="34">
        <v>0</v>
      </c>
      <c r="G34" s="36"/>
    </row>
    <row r="35" spans="3:7">
      <c r="C35" s="35" t="s">
        <v>121</v>
      </c>
      <c r="D35" s="29" t="s">
        <v>2</v>
      </c>
      <c r="E35" s="29" t="s">
        <v>13</v>
      </c>
      <c r="F35" s="34">
        <v>2</v>
      </c>
      <c r="G35" s="36" t="s">
        <v>63</v>
      </c>
    </row>
    <row r="36" spans="3:7">
      <c r="C36" s="35" t="s">
        <v>75</v>
      </c>
      <c r="D36" s="29" t="s">
        <v>3</v>
      </c>
      <c r="E36" s="29" t="s">
        <v>44</v>
      </c>
      <c r="F36" s="34">
        <v>4</v>
      </c>
      <c r="G36" s="36" t="s">
        <v>107</v>
      </c>
    </row>
    <row r="37" spans="3:7">
      <c r="C37" s="35" t="s">
        <v>122</v>
      </c>
      <c r="D37" s="29" t="s">
        <v>4</v>
      </c>
      <c r="E37" s="29" t="s">
        <v>12</v>
      </c>
      <c r="F37" s="34">
        <v>2</v>
      </c>
      <c r="G37" s="36" t="s">
        <v>119</v>
      </c>
    </row>
    <row r="38" spans="3:7">
      <c r="C38" s="29" t="s">
        <v>32</v>
      </c>
      <c r="D38" s="29" t="s">
        <v>60</v>
      </c>
      <c r="E38" s="29"/>
      <c r="F38" s="34">
        <v>0</v>
      </c>
      <c r="G38" s="36"/>
    </row>
    <row r="39" spans="3:7">
      <c r="C39" s="29" t="s">
        <v>42</v>
      </c>
      <c r="D39" s="29" t="s">
        <v>93</v>
      </c>
      <c r="E39" s="29" t="s">
        <v>12</v>
      </c>
      <c r="F39" s="34">
        <v>1</v>
      </c>
      <c r="G39" s="36">
        <v>44</v>
      </c>
    </row>
    <row r="40" spans="3:7">
      <c r="C40" s="35" t="s">
        <v>26</v>
      </c>
      <c r="D40" s="29" t="s">
        <v>56</v>
      </c>
      <c r="E40" s="29" t="s">
        <v>125</v>
      </c>
      <c r="F40" s="34">
        <v>5</v>
      </c>
      <c r="G40" s="36" t="s">
        <v>96</v>
      </c>
    </row>
    <row r="41" spans="3:7">
      <c r="C41" s="30" t="s">
        <v>110</v>
      </c>
      <c r="D41" s="33"/>
      <c r="E41" s="33"/>
      <c r="F41" s="33"/>
      <c r="G41" s="36"/>
    </row>
  </sheetData>
  <phoneticPr fontId="2"/>
  <conditionalFormatting sqref="C11:G11">
    <cfRule type="expression" dxfId="29" priority="1" stopIfTrue="1">
      <formula>OR(#REF!="土",#REF!="日",#REF!="祝")</formula>
    </cfRule>
  </conditionalFormatting>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073" r:id="rId4" name="btnGet">
          <controlPr defaultSize="0" autoLine="0" r:id="rId5">
            <anchor moveWithCells="1">
              <from>
                <xdr:col>3</xdr:col>
                <xdr:colOff>2413000</xdr:colOff>
                <xdr:row>3</xdr:row>
                <xdr:rowOff>12700</xdr:rowOff>
              </from>
              <to>
                <xdr:col>3</xdr:col>
                <xdr:colOff>3155950</xdr:colOff>
                <xdr:row>4</xdr:row>
                <xdr:rowOff>146050</xdr:rowOff>
              </to>
            </anchor>
          </controlPr>
        </control>
      </mc:Choice>
      <mc:Fallback>
        <control shapeId="3073" r:id="rId4" name="btnG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10:D16"/>
  <sheetViews>
    <sheetView workbookViewId="0">
      <selection activeCell="H30" sqref="H30"/>
    </sheetView>
  </sheetViews>
  <sheetFormatPr defaultRowHeight="13"/>
  <cols>
    <col min="3" max="3" width="11" bestFit="1" customWidth="1"/>
    <col min="4" max="4" width="5.26953125" bestFit="1" customWidth="1"/>
  </cols>
  <sheetData>
    <row r="10" spans="3:4">
      <c r="C10" s="49" t="s">
        <v>20</v>
      </c>
      <c r="D10" s="49" t="s">
        <v>39</v>
      </c>
    </row>
    <row r="11" spans="3:4">
      <c r="C11" s="44" t="s">
        <v>37</v>
      </c>
      <c r="D11" s="44">
        <f>COUNTIF(QA管理一覧表!Q:Q,"要")</f>
        <v>2</v>
      </c>
    </row>
    <row r="12" spans="3:4">
      <c r="C12" s="44" t="s">
        <v>38</v>
      </c>
      <c r="D12" s="44">
        <f>COUNTIF(QA管理一覧表!X:X,分析一覧!C12)</f>
        <v>0</v>
      </c>
    </row>
    <row r="13" spans="3:4">
      <c r="C13" s="44" t="s">
        <v>111</v>
      </c>
      <c r="D13" s="44">
        <f>COUNTIF(QA管理一覧表!X:X,分析一覧!C13)</f>
        <v>0</v>
      </c>
    </row>
    <row r="14" spans="3:4">
      <c r="C14" s="44" t="s">
        <v>0</v>
      </c>
      <c r="D14" s="44">
        <f>COUNTIF(QA管理一覧表!X:X,分析一覧!C14)</f>
        <v>0</v>
      </c>
    </row>
    <row r="15" spans="3:4">
      <c r="C15" s="44" t="s">
        <v>89</v>
      </c>
      <c r="D15" s="44">
        <f>COUNTIF(QA管理一覧表!X:X,分析一覧!C15)</f>
        <v>0</v>
      </c>
    </row>
    <row r="16" spans="3:4">
      <c r="C16" s="44" t="s">
        <v>110</v>
      </c>
      <c r="D16" s="44">
        <f>SUM(D11:D15)</f>
        <v>2</v>
      </c>
    </row>
  </sheetData>
  <phoneticPr fontId="2"/>
  <pageMargins left="0.75" right="0.75" top="1" bottom="1" header="0.51200000000000001" footer="0.51200000000000001"/>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0"/>
  <sheetViews>
    <sheetView tabSelected="1" zoomScale="85" zoomScaleNormal="80" zoomScaleSheetLayoutView="85" workbookViewId="0">
      <pane xSplit="5" ySplit="3" topLeftCell="F4" activePane="bottomRight" state="frozen"/>
      <selection pane="topRight"/>
      <selection pane="bottomLeft"/>
      <selection pane="bottomRight" activeCell="A8" sqref="A8:K8"/>
    </sheetView>
  </sheetViews>
  <sheetFormatPr defaultColWidth="9" defaultRowHeight="13"/>
  <cols>
    <col min="1" max="1" width="7.6328125" style="24" customWidth="1"/>
    <col min="2" max="2" width="14.7265625" style="23" customWidth="1"/>
    <col min="3" max="3" width="20" style="23" customWidth="1"/>
    <col min="4" max="4" width="11.08984375" style="23" customWidth="1"/>
    <col min="5" max="5" width="54.08984375" style="15" customWidth="1"/>
    <col min="6" max="6" width="6.90625" style="48" customWidth="1"/>
    <col min="7" max="7" width="8.453125" style="25" customWidth="1"/>
    <col min="8" max="9" width="10.26953125" style="43" bestFit="1" customWidth="1"/>
    <col min="10" max="10" width="5.7265625" style="24" bestFit="1" customWidth="1"/>
    <col min="11" max="11" width="8.6328125" style="25" customWidth="1"/>
    <col min="12" max="12" width="7.6328125" style="18" customWidth="1"/>
    <col min="13" max="13" width="7.26953125" style="18" customWidth="1"/>
    <col min="14" max="14" width="45.36328125" style="19" customWidth="1"/>
    <col min="15" max="15" width="8.26953125" style="20" customWidth="1"/>
    <col min="16" max="16" width="8.36328125" style="19" customWidth="1"/>
    <col min="17" max="17" width="9.90625" style="19" customWidth="1"/>
    <col min="18" max="19" width="8.7265625" style="20" customWidth="1"/>
    <col min="20" max="20" width="8.453125" style="25" customWidth="1"/>
    <col min="21" max="21" width="5.6328125" style="24" customWidth="1"/>
    <col min="22" max="22" width="12.08984375" style="23" customWidth="1"/>
    <col min="23" max="23" width="17.453125" style="23" customWidth="1"/>
    <col min="24" max="24" width="11.36328125" style="22" customWidth="1"/>
    <col min="25" max="16384" width="9" style="22"/>
  </cols>
  <sheetData>
    <row r="1" spans="1:24" s="21" customFormat="1" ht="6" customHeight="1">
      <c r="A1" s="16"/>
      <c r="B1" s="15"/>
      <c r="C1" s="15"/>
      <c r="D1" s="15"/>
      <c r="E1" s="15"/>
      <c r="F1" s="45"/>
      <c r="G1" s="17"/>
      <c r="H1" s="41"/>
      <c r="I1" s="41"/>
      <c r="J1" s="16"/>
      <c r="K1" s="17"/>
      <c r="L1" s="18"/>
      <c r="M1" s="18"/>
      <c r="N1" s="19"/>
      <c r="O1" s="20"/>
      <c r="P1" s="19"/>
      <c r="Q1" s="19"/>
      <c r="R1" s="20"/>
      <c r="S1" s="20"/>
      <c r="T1" s="17"/>
      <c r="U1" s="16"/>
      <c r="V1" s="15"/>
      <c r="W1" s="15"/>
    </row>
    <row r="2" spans="1:24" ht="29.15" customHeight="1">
      <c r="A2" s="12" t="s">
        <v>8</v>
      </c>
      <c r="B2" s="13"/>
      <c r="C2" s="13"/>
      <c r="D2" s="13"/>
      <c r="E2" s="13"/>
      <c r="F2" s="46"/>
      <c r="G2" s="10"/>
      <c r="H2" s="13"/>
      <c r="I2" s="13"/>
      <c r="J2" s="10"/>
      <c r="K2" s="11"/>
      <c r="L2" s="9" t="s">
        <v>59</v>
      </c>
      <c r="M2" s="10"/>
      <c r="N2" s="10"/>
      <c r="O2" s="10"/>
      <c r="P2" s="10"/>
      <c r="Q2" s="10"/>
      <c r="R2" s="10"/>
      <c r="S2" s="11"/>
      <c r="T2" s="12" t="s">
        <v>8</v>
      </c>
      <c r="U2" s="13"/>
      <c r="V2" s="14"/>
      <c r="W2" s="13"/>
    </row>
    <row r="3" spans="1:24" s="2" customFormat="1" ht="51" customHeight="1">
      <c r="A3" s="6" t="s">
        <v>11</v>
      </c>
      <c r="B3" s="6" t="s">
        <v>116</v>
      </c>
      <c r="C3" s="6" t="s">
        <v>9</v>
      </c>
      <c r="D3" s="6" t="s">
        <v>10</v>
      </c>
      <c r="E3" s="6" t="s">
        <v>124</v>
      </c>
      <c r="F3" s="47" t="s">
        <v>108</v>
      </c>
      <c r="G3" s="7" t="s">
        <v>128</v>
      </c>
      <c r="H3" s="6" t="s">
        <v>118</v>
      </c>
      <c r="I3" s="6" t="s">
        <v>51</v>
      </c>
      <c r="J3" s="6" t="s">
        <v>53</v>
      </c>
      <c r="K3" s="7" t="s">
        <v>52</v>
      </c>
      <c r="L3" s="3" t="s">
        <v>29</v>
      </c>
      <c r="M3" s="3" t="s">
        <v>120</v>
      </c>
      <c r="N3" s="1" t="s">
        <v>41</v>
      </c>
      <c r="O3" s="3" t="s">
        <v>94</v>
      </c>
      <c r="P3" s="1" t="s">
        <v>126</v>
      </c>
      <c r="Q3" s="1" t="s">
        <v>73</v>
      </c>
      <c r="R3" s="3" t="s">
        <v>30</v>
      </c>
      <c r="S3" s="3" t="s">
        <v>15</v>
      </c>
      <c r="T3" s="7" t="s">
        <v>16</v>
      </c>
      <c r="U3" s="6" t="s">
        <v>127</v>
      </c>
      <c r="V3" s="8" t="s">
        <v>86</v>
      </c>
      <c r="W3" s="6" t="s">
        <v>117</v>
      </c>
      <c r="X3" s="6" t="s">
        <v>31</v>
      </c>
    </row>
    <row r="4" spans="1:24" s="21" customFormat="1" ht="117">
      <c r="A4" s="40">
        <v>1</v>
      </c>
      <c r="B4" s="26" t="s">
        <v>67</v>
      </c>
      <c r="C4" s="26" t="s">
        <v>95</v>
      </c>
      <c r="D4" s="26" t="s">
        <v>98</v>
      </c>
      <c r="E4" s="26" t="s">
        <v>25</v>
      </c>
      <c r="F4" s="26" t="s">
        <v>72</v>
      </c>
      <c r="G4" s="39">
        <v>41429</v>
      </c>
      <c r="H4" s="42" t="s">
        <v>18</v>
      </c>
      <c r="I4" s="42" t="s">
        <v>18</v>
      </c>
      <c r="J4" s="40" t="s">
        <v>109</v>
      </c>
      <c r="K4" s="39">
        <v>41432</v>
      </c>
      <c r="L4" s="27">
        <v>41430</v>
      </c>
      <c r="M4" s="27">
        <v>41431</v>
      </c>
      <c r="N4" s="37" t="s">
        <v>23</v>
      </c>
      <c r="O4" s="27">
        <v>41431</v>
      </c>
      <c r="P4" s="37" t="s">
        <v>82</v>
      </c>
      <c r="Q4" s="38" t="s">
        <v>83</v>
      </c>
      <c r="R4" s="27">
        <v>41431</v>
      </c>
      <c r="S4" s="27">
        <v>41431</v>
      </c>
      <c r="T4" s="5">
        <v>41431</v>
      </c>
      <c r="U4" s="4" t="s">
        <v>97</v>
      </c>
      <c r="V4" s="4" t="s">
        <v>97</v>
      </c>
      <c r="W4" s="4" t="s">
        <v>84</v>
      </c>
      <c r="X4" s="4" t="s">
        <v>84</v>
      </c>
    </row>
    <row r="5" spans="1:24" s="21" customFormat="1" ht="39" customHeight="1">
      <c r="A5" s="40">
        <v>2</v>
      </c>
      <c r="B5" s="26"/>
      <c r="C5" s="26" t="s">
        <v>135</v>
      </c>
      <c r="D5" s="26" t="s">
        <v>130</v>
      </c>
      <c r="E5" s="26" t="s">
        <v>131</v>
      </c>
      <c r="F5" s="26" t="s">
        <v>72</v>
      </c>
      <c r="G5" s="39">
        <v>45057</v>
      </c>
      <c r="H5" s="42" t="s">
        <v>134</v>
      </c>
      <c r="I5" s="42" t="s">
        <v>134</v>
      </c>
      <c r="J5" s="40" t="s">
        <v>109</v>
      </c>
      <c r="K5" s="39">
        <v>45058</v>
      </c>
      <c r="L5" s="27"/>
      <c r="M5" s="27"/>
      <c r="N5" s="37"/>
      <c r="O5" s="27"/>
      <c r="P5" s="37"/>
      <c r="Q5" s="38"/>
      <c r="R5" s="27"/>
      <c r="S5" s="27"/>
      <c r="T5" s="5"/>
      <c r="U5" s="4"/>
      <c r="V5" s="4"/>
      <c r="W5" s="4"/>
      <c r="X5" s="4"/>
    </row>
    <row r="6" spans="1:24" s="21" customFormat="1" ht="39">
      <c r="A6" s="40">
        <v>3</v>
      </c>
      <c r="B6" s="26"/>
      <c r="C6" s="26" t="s">
        <v>136</v>
      </c>
      <c r="D6" s="26" t="s">
        <v>132</v>
      </c>
      <c r="E6" s="26" t="s">
        <v>133</v>
      </c>
      <c r="F6" s="26" t="s">
        <v>72</v>
      </c>
      <c r="G6" s="39">
        <v>45057</v>
      </c>
      <c r="H6" s="42" t="s">
        <v>134</v>
      </c>
      <c r="I6" s="42" t="s">
        <v>134</v>
      </c>
      <c r="J6" s="40" t="s">
        <v>109</v>
      </c>
      <c r="K6" s="39">
        <v>45058</v>
      </c>
      <c r="L6" s="39">
        <v>45057</v>
      </c>
      <c r="M6" s="39">
        <v>45057</v>
      </c>
      <c r="N6" s="50" t="s">
        <v>137</v>
      </c>
      <c r="O6" s="39">
        <v>45057</v>
      </c>
      <c r="P6" s="50" t="s">
        <v>138</v>
      </c>
      <c r="Q6" s="38" t="s">
        <v>83</v>
      </c>
      <c r="R6" s="39">
        <v>45057</v>
      </c>
      <c r="S6" s="39">
        <v>45057</v>
      </c>
      <c r="T6" s="5">
        <v>45057</v>
      </c>
      <c r="U6" s="4" t="s">
        <v>97</v>
      </c>
      <c r="V6" s="4" t="s">
        <v>97</v>
      </c>
      <c r="W6" s="4"/>
      <c r="X6" s="4"/>
    </row>
    <row r="7" spans="1:24" s="21" customFormat="1" ht="39">
      <c r="A7" s="40">
        <v>4</v>
      </c>
      <c r="B7" s="26" t="s">
        <v>139</v>
      </c>
      <c r="C7" s="26" t="s">
        <v>140</v>
      </c>
      <c r="D7" s="26" t="s">
        <v>141</v>
      </c>
      <c r="E7" s="26" t="s">
        <v>142</v>
      </c>
      <c r="F7" s="26" t="s">
        <v>72</v>
      </c>
      <c r="G7" s="39">
        <v>45057</v>
      </c>
      <c r="H7" s="42" t="s">
        <v>134</v>
      </c>
      <c r="I7" s="42" t="s">
        <v>134</v>
      </c>
      <c r="J7" s="40" t="s">
        <v>109</v>
      </c>
      <c r="K7" s="39">
        <v>45058</v>
      </c>
      <c r="L7" s="27"/>
      <c r="M7" s="27"/>
      <c r="N7" s="37"/>
      <c r="O7" s="27"/>
      <c r="P7" s="37"/>
      <c r="Q7" s="38"/>
      <c r="R7" s="27"/>
      <c r="S7" s="27"/>
      <c r="T7" s="5"/>
      <c r="U7" s="4"/>
      <c r="V7" s="4"/>
      <c r="W7" s="4"/>
      <c r="X7" s="4"/>
    </row>
    <row r="8" spans="1:24" s="21" customFormat="1" ht="52">
      <c r="A8" s="40">
        <v>5</v>
      </c>
      <c r="B8" s="26" t="s">
        <v>143</v>
      </c>
      <c r="C8" s="26" t="s">
        <v>144</v>
      </c>
      <c r="D8" s="26"/>
      <c r="E8" s="26" t="s">
        <v>145</v>
      </c>
      <c r="F8" s="26" t="s">
        <v>72</v>
      </c>
      <c r="G8" s="39">
        <v>45058</v>
      </c>
      <c r="H8" s="42" t="s">
        <v>146</v>
      </c>
      <c r="I8" s="42" t="s">
        <v>146</v>
      </c>
      <c r="J8" s="40" t="s">
        <v>109</v>
      </c>
      <c r="K8" s="39">
        <v>45062</v>
      </c>
      <c r="L8" s="27"/>
      <c r="M8" s="27"/>
      <c r="N8" s="37"/>
      <c r="O8" s="27"/>
      <c r="P8" s="37"/>
      <c r="Q8" s="38"/>
      <c r="R8" s="27"/>
      <c r="S8" s="27"/>
      <c r="T8" s="5"/>
      <c r="U8" s="4"/>
      <c r="V8" s="4"/>
      <c r="W8" s="4"/>
      <c r="X8" s="4"/>
    </row>
    <row r="9" spans="1:24" s="21" customFormat="1">
      <c r="A9" s="40"/>
      <c r="B9" s="26"/>
      <c r="C9" s="26"/>
      <c r="D9" s="26"/>
      <c r="E9" s="26"/>
      <c r="F9" s="26"/>
      <c r="G9" s="39"/>
      <c r="H9" s="42"/>
      <c r="I9" s="42"/>
      <c r="J9" s="40"/>
      <c r="K9" s="39"/>
      <c r="L9" s="27"/>
      <c r="M9" s="27"/>
      <c r="N9" s="37"/>
      <c r="O9" s="27"/>
      <c r="P9" s="37"/>
      <c r="Q9" s="38"/>
      <c r="R9" s="27"/>
      <c r="S9" s="27"/>
      <c r="T9" s="5"/>
      <c r="U9" s="4"/>
      <c r="V9" s="4"/>
      <c r="W9" s="4"/>
      <c r="X9" s="4"/>
    </row>
    <row r="10" spans="1:24" s="21" customFormat="1">
      <c r="A10" s="40"/>
      <c r="B10" s="26"/>
      <c r="C10" s="26"/>
      <c r="D10" s="26"/>
      <c r="E10" s="26"/>
      <c r="F10" s="26"/>
      <c r="G10" s="39"/>
      <c r="H10" s="42"/>
      <c r="I10" s="42"/>
      <c r="J10" s="40"/>
      <c r="K10" s="39"/>
      <c r="L10" s="27"/>
      <c r="M10" s="27"/>
      <c r="N10" s="37"/>
      <c r="O10" s="27"/>
      <c r="P10" s="37"/>
      <c r="Q10" s="38"/>
      <c r="R10" s="27"/>
      <c r="S10" s="27"/>
      <c r="T10" s="5"/>
      <c r="U10" s="4"/>
      <c r="V10" s="4"/>
      <c r="W10" s="4"/>
      <c r="X10" s="4"/>
    </row>
  </sheetData>
  <autoFilter ref="A3:X10" xr:uid="{00000000-0009-0000-0000-000002000000}">
    <sortState xmlns:xlrd2="http://schemas.microsoft.com/office/spreadsheetml/2017/richdata2" ref="A4:X1220">
      <sortCondition ref="A3:A1220"/>
    </sortState>
  </autoFilter>
  <customSheetViews>
    <customSheetView guid="{4D81BB8C-E3F3-4CF9-B2A3-3E4B928F043B}"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1"/>
      <headerFooter alignWithMargins="0"/>
    </customSheetView>
    <customSheetView guid="{2CE6F66E-53C3-4A73-B1A8-18C71351464C}" scale="85" showPageBreaks="1" fitToPage="1" printArea="1" view="pageBreakPreview" showRuler="0">
      <pane xSplit="1" ySplit="3" topLeftCell="B4" activePane="bottomRight" state="frozen"/>
      <selection pane="bottomRight"/>
      <pageMargins left="0.27" right="0.2" top="0.4" bottom="0.38" header="0.3" footer="0.3"/>
      <pageSetup paperSize="8" scale="54" fitToHeight="6" orientation="portrait" verticalDpi="1200" r:id="rId2"/>
      <headerFooter alignWithMargins="0"/>
    </customSheetView>
    <customSheetView guid="{431BC71D-A928-4424-8063-367052496243}" scale="85" showPageBreaks="1" fitToPage="1" printArea="1" view="pageBreakPreview" showRuler="0">
      <pane xSplit="1" ySplit="3" topLeftCell="B13" activePane="bottomRight" state="frozen"/>
      <selection pane="bottomRight"/>
      <pageMargins left="0.27" right="0.2" top="0.4" bottom="0.38" header="0.3" footer="0.3"/>
      <pageSetup paperSize="8" scale="54" fitToHeight="6" orientation="portrait" verticalDpi="1200" r:id="rId3"/>
      <headerFooter alignWithMargins="0"/>
    </customSheetView>
    <customSheetView guid="{595CD091-ECE8-433C-9F29-BCFA5069325D}" scale="85" showPageBreaks="1" fitToPage="1" view="pageBreakPreview" showRuler="0">
      <pane xSplit="1" ySplit="3" topLeftCell="E5" activePane="bottomRight" state="frozen"/>
      <selection pane="bottomRight" activeCell="P10" sqref="P10"/>
      <pageMargins left="0.27" right="0.2" top="0.4" bottom="0.38" header="0.3" footer="0.3"/>
      <pageSetup paperSize="8" scale="54" fitToHeight="6" orientation="portrait" verticalDpi="1200" r:id="rId4"/>
      <headerFooter alignWithMargins="0"/>
    </customSheetView>
    <customSheetView guid="{5E2924B9-A8E6-4935-BD2A-12A6697A062F}"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5"/>
      <headerFooter alignWithMargins="0"/>
      <autoFilter ref="B1:AE1" xr:uid="{F175DEB0-A448-4608-8D84-59F315317D6B}"/>
    </customSheetView>
    <customSheetView guid="{F64FA1C0-E5B8-4C3E-97C6-F440F39DB6AD}" scale="75" showPageBreaks="1" fitToPage="1" filter="1" showAutoFilter="1" view="pageBreakPreview" showRuler="0">
      <pane xSplit="1" ySplit="21" topLeftCell="E88" activePane="bottomRight" state="frozen"/>
      <selection pane="bottomRight" activeCell="M89" sqref="M89"/>
      <pageMargins left="0.27" right="0.2" top="0.4" bottom="0.38" header="0.3" footer="0.3"/>
      <pageSetup paperSize="9" scale="25" fitToHeight="6" orientation="portrait" verticalDpi="1200" r:id="rId6"/>
      <headerFooter alignWithMargins="0"/>
      <autoFilter ref="B1:AE1" xr:uid="{C137BBA6-734C-4711-8BFB-754D1BE50B81}">
        <filterColumn colId="12">
          <filters blank="1"/>
        </filterColumn>
      </autoFilter>
    </customSheetView>
    <customSheetView guid="{D824648B-CD74-4F51-9695-3BAFAF7E2075}"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7"/>
      <headerFooter alignWithMargins="0"/>
      <autoFilter ref="B1:AE1" xr:uid="{8AF7C86C-2117-4537-AADD-55E2F8A89061}"/>
    </customSheetView>
    <customSheetView guid="{C329D071-A66F-4BEB-9E5E-2ED1265DA3B2}"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8"/>
      <headerFooter alignWithMargins="0"/>
      <autoFilter ref="B1:AE1" xr:uid="{04F4C337-5949-4B04-92CB-6B9663DBB68D}"/>
    </customSheetView>
    <customSheetView guid="{F2CD705A-D7A1-4E49-8A50-4B3770E99C76}" scale="75" showPageBreaks="1" fitToPage="1" showAutoFilter="1" view="pageBreakPreview" showRuler="0">
      <pane xSplit="1" ySplit="3" topLeftCell="B4" activePane="bottomRight" state="frozen"/>
      <selection pane="bottomRight"/>
      <pageMargins left="0.27" right="0.2" top="0.4" bottom="0.38" header="0.3" footer="0.3"/>
      <pageSetup paperSize="9" scale="25" fitToHeight="6" orientation="portrait" verticalDpi="1200" r:id="rId9"/>
      <headerFooter alignWithMargins="0"/>
      <autoFilter ref="B1:AE1" xr:uid="{0707D2FE-D88A-4A8E-9AC5-D1FB35F51128}"/>
    </customSheetView>
    <customSheetView guid="{5BFFE39F-FE4E-43B4-8E90-62B8F09ECD7E}" showPageBreaks="1" fitToPage="1" showAutoFilter="1" view="pageBreakPreview" showRuler="0">
      <pane xSplit="1" ySplit="3" topLeftCell="B4" activePane="bottomRight" state="frozen"/>
      <selection pane="bottomRight" activeCell="B4" sqref="B4"/>
      <pageMargins left="0.27559055118110237" right="0.19685039370078741" top="0.39370078740157483" bottom="0.39370078740157483" header="0.31496062992125984" footer="0.31496062992125984"/>
      <pageSetup paperSize="9" scale="25" fitToHeight="2" orientation="portrait" r:id="rId10"/>
      <headerFooter alignWithMargins="0"/>
      <autoFilter ref="B1:AE1" xr:uid="{4956BC63-01DB-43A6-AA39-200997D3C7E6}"/>
    </customSheetView>
    <customSheetView guid="{179682AD-88A5-48E7-90FE-C00C8657731B}" showPageBreaks="1" fitToPage="1" showAutoFilter="1" view="pageBreakPreview" showRuler="0">
      <pane xSplit="1" ySplit="3" topLeftCell="B4" activePane="bottomRight" state="frozen"/>
      <selection pane="bottomRight" activeCell="A4" sqref="A4"/>
      <pageMargins left="0.27559055118110237" right="0.19685039370078741" top="0.39370078740157483" bottom="0.39370078740157483" header="0.31496062992125984" footer="0.31496062992125984"/>
      <pageSetup paperSize="9" scale="25" fitToHeight="2" orientation="portrait" r:id="rId11"/>
      <headerFooter alignWithMargins="0"/>
      <autoFilter ref="B1:AE1" xr:uid="{4545AD65-A7E3-411E-B901-1E714E268741}"/>
    </customSheetView>
    <customSheetView guid="{7C2C0227-C9E1-47D3-ADE3-EBCBB40169C2}" showPageBreaks="1" fitToPage="1" showAutoFilter="1" view="pageBreakPreview" showRuler="0" topLeftCell="A414">
      <selection activeCell="A417" sqref="A417"/>
      <pageMargins left="0.27559055118110237" right="0.19685039370078741" top="0.39370078740157483" bottom="0.39370078740157483" header="0.31496062992125984" footer="0.31496062992125984"/>
      <pageSetup paperSize="9" scale="24" fitToHeight="0" orientation="portrait" r:id="rId12"/>
      <headerFooter alignWithMargins="0"/>
      <autoFilter ref="B1:AE1" xr:uid="{2EF554FD-46EE-4136-858E-2396568B8320}"/>
    </customSheetView>
    <customSheetView guid="{9CAE8AC6-524E-4CBD-AC05-CAD71D74A8CB}" scale="75" showPageBreaks="1" showAutoFilter="1" view="pageBreakPreview" showRuler="0">
      <pane ySplit="3" topLeftCell="A403" activePane="bottomLeft" state="frozen"/>
      <selection pane="bottomLeft" activeCell="E404" sqref="E404"/>
      <pageMargins left="0.27" right="0.2" top="0.4" bottom="0.38" header="0.3" footer="0.3"/>
      <pageSetup paperSize="9" scale="38" orientation="landscape" verticalDpi="1200" r:id="rId13"/>
      <headerFooter alignWithMargins="0"/>
      <autoFilter ref="B1:AE1" xr:uid="{36E7FF1B-BEBB-4B32-A44E-43727F44CCEE}"/>
    </customSheetView>
    <customSheetView guid="{E3557D52-BD4C-452C-B1CF-531320DE7FC1}" showPageBreaks="1" fitToPage="1" filter="1" showAutoFilter="1" view="pageBreakPreview" showRuler="0">
      <pane xSplit="1" ySplit="3" topLeftCell="J267" activePane="bottomRight" state="frozen"/>
      <selection pane="bottomRight" activeCell="L267" sqref="L267"/>
      <pageMargins left="0.27" right="0.2" top="0.4" bottom="0.38" header="0.3" footer="0.3"/>
      <pageSetup paperSize="9" scale="24" fitToHeight="0" orientation="portrait" r:id="rId14"/>
      <headerFooter alignWithMargins="0">
        <oddFooter>&amp;C&amp;P/&amp;N</oddFooter>
      </headerFooter>
      <autoFilter ref="B1:AE1" xr:uid="{654F17E0-2751-46CE-8518-2803858545A5}">
        <filterColumn colId="1">
          <filters>
            <filter val="2.2.1_イメージ種別登録"/>
          </filters>
        </filterColumn>
        <filterColumn colId="13">
          <filters blank="1"/>
        </filterColumn>
      </autoFilter>
    </customSheetView>
    <customSheetView guid="{73767BBA-AF8D-4953-9700-AAAB2744F29D}" scale="75" showPageBreaks="1" filter="1" showAutoFilter="1" view="pageBreakPreview" showRuler="0">
      <pane xSplit="1" ySplit="11" topLeftCell="B220" activePane="bottomRight" state="frozen"/>
      <selection pane="bottomRight" activeCell="I224" sqref="I224"/>
      <pageMargins left="0.27" right="0.2" top="0.4" bottom="0.38" header="0.3" footer="0.3"/>
      <pageSetup paperSize="9" scale="38" orientation="landscape" verticalDpi="1200" r:id="rId15"/>
      <headerFooter alignWithMargins="0"/>
      <autoFilter ref="B1:AE1" xr:uid="{082101C9-289C-443D-A68D-A749DEF48769}">
        <filterColumn colId="1">
          <filters>
            <filter val="2.4.1_個別審査"/>
          </filters>
        </filterColumn>
      </autoFilter>
    </customSheetView>
    <customSheetView guid="{BF310017-A1AD-46C6-8303-9D256BBCB14F}" showPageBreaks="1" fitToPage="1" showAutoFilter="1" view="pageBreakPreview" showRuler="0">
      <pane xSplit="1" ySplit="3" topLeftCell="B415" activePane="bottomRight" state="frozen"/>
      <selection pane="bottomRight" activeCell="A403" sqref="A403"/>
      <pageMargins left="0.27559055118110237" right="0.19685039370078741" top="0.39370078740157483" bottom="0.39370078740157483" header="0.31496062992125984" footer="0.31496062992125984"/>
      <pageSetup paperSize="9" scale="10" fitToHeight="2" orientation="portrait" r:id="rId16"/>
      <headerFooter alignWithMargins="0"/>
      <autoFilter ref="B1:AE1" xr:uid="{6F0E4F63-0CFA-4CD1-BAF4-74D7E39DF065}"/>
    </customSheetView>
    <customSheetView guid="{985BF1BC-FA4C-42EC-81E5-BFA3B5B6FBB2}" scale="75" showPageBreaks="1" fitToPage="1" showAutoFilter="1" view="pageBreakPreview" showRuler="0">
      <pane xSplit="1" ySplit="3" topLeftCell="B5" activePane="bottomRight" state="frozen"/>
      <selection pane="bottomRight" activeCell="B5" sqref="B5"/>
      <pageMargins left="0.27" right="0.2" top="0.4" bottom="0.38" header="0.3" footer="0.3"/>
      <pageSetup paperSize="9" scale="25" fitToHeight="6" orientation="portrait" verticalDpi="1200" r:id="rId17"/>
      <headerFooter alignWithMargins="0"/>
      <autoFilter ref="B1:AE1" xr:uid="{D3B620C2-6B5E-4ABE-918C-C647D184E605}"/>
    </customSheetView>
    <customSheetView guid="{CBDD6FDB-0A6F-484C-AD09-83DDBF4E35CF}" scale="75" showPageBreaks="1" fitToPage="1" printArea="1" showAutoFilter="1" view="pageBreakPreview" showRuler="0">
      <pane xSplit="1" ySplit="3" topLeftCell="B109" activePane="bottomRight" state="frozen"/>
      <selection pane="bottomRight" activeCell="M103" sqref="M103"/>
      <pageMargins left="0.27" right="0.2" top="0.4" bottom="0.38" header="0.3" footer="0.3"/>
      <pageSetup paperSize="9" scale="24" fitToHeight="6" orientation="portrait" verticalDpi="1200" r:id="rId18"/>
      <headerFooter alignWithMargins="0"/>
      <autoFilter ref="B1:AE1" xr:uid="{FDF9FCF0-10EF-47FF-B736-286A815AA25A}"/>
    </customSheetView>
    <customSheetView guid="{6E817D4E-15F3-4499-A0B8-B65EB55541B7}" scale="70" showPageBreaks="1" fitToPage="1" printArea="1" showAutoFilter="1" view="pageBreakPreview" showRuler="0">
      <pageMargins left="0.27" right="0.2" top="0.4" bottom="0.38" header="0.3" footer="0.3"/>
      <pageSetup paperSize="8" scale="25" fitToHeight="6" orientation="portrait" verticalDpi="1200" r:id="rId19"/>
      <headerFooter alignWithMargins="0"/>
      <autoFilter ref="B1:AE1" xr:uid="{46E0D0E8-BE39-4DBE-9BC4-C2422C3F74B5}"/>
    </customSheetView>
    <customSheetView guid="{9EA89D67-8AC7-4A75-8451-6B6A5914C570}" scale="70" showPageBreaks="1" fitToPage="1" filter="1" showAutoFilter="1" view="pageBreakPreview" showRuler="0">
      <selection activeCell="F8" sqref="F8"/>
      <pageMargins left="0.27" right="0.2" top="0.4" bottom="0.38" header="0.3" footer="0.3"/>
      <pageSetup paperSize="8" scale="36" fitToHeight="6" orientation="portrait" verticalDpi="1200" r:id="rId20"/>
      <headerFooter alignWithMargins="0"/>
      <autoFilter ref="B1:AE1" xr:uid="{5A97ABD8-2B97-476E-A5FC-73D8CDB9641D}">
        <filterColumn colId="12">
          <filters blank="1"/>
        </filterColumn>
      </autoFilter>
    </customSheetView>
    <customSheetView guid="{1C018A6D-9377-4D39-A22D-22247DF9E629}" scale="85" showPageBreaks="1" fitToPage="1" view="pageBreakPreview" showRuler="0">
      <pane xSplit="1" ySplit="3" topLeftCell="B7" activePane="bottomRight" state="frozen"/>
      <selection pane="bottomRight" activeCell="D24" sqref="D24"/>
      <pageMargins left="0.27" right="0.2" top="0.4" bottom="0.38" header="0.3" footer="0.3"/>
      <pageSetup paperSize="8" scale="54" fitToHeight="6" orientation="portrait" verticalDpi="1200" r:id="rId21"/>
      <headerFooter alignWithMargins="0"/>
    </customSheetView>
    <customSheetView guid="{FB2256B3-6653-4CC8-8383-406A47E2D3CE}" scale="85" showPageBreaks="1" fitToPage="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22"/>
      <headerFooter alignWithMargins="0"/>
    </customSheetView>
    <customSheetView guid="{37C0172F-0214-4F13-8094-0545856787BF}"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37" fitToHeight="6" orientation="portrait" verticalDpi="1200" r:id="rId23"/>
      <headerFooter alignWithMargins="0"/>
    </customSheetView>
    <customSheetView guid="{C15DBF43-1D92-4F54-BEC6-8F3D212F8D99}" scale="85" showPageBreaks="1" fitToPage="1" printArea="1" view="pageBreakPreview" showRuler="0">
      <pane xSplit="1" ySplit="3" topLeftCell="B33" activePane="bottomRight" state="frozen"/>
      <selection pane="bottomRight" activeCell="E41" sqref="E41"/>
      <pageMargins left="0.27" right="0.2" top="0.4" bottom="0.38" header="0.3" footer="0.3"/>
      <pageSetup paperSize="8" scale="54" fitToHeight="6" orientation="portrait" verticalDpi="1200" r:id="rId24"/>
      <headerFooter alignWithMargins="0"/>
    </customSheetView>
    <customSheetView guid="{C576EE63-57B7-404C-AA54-BCCE6EAECEAC}" scale="85" showPageBreaks="1" fitToPage="1" printArea="1" view="pageBreakPreview" showRuler="0">
      <pane xSplit="1" ySplit="3" topLeftCell="B7" activePane="bottomRight" state="frozen"/>
      <selection pane="bottomRight" activeCell="M10" sqref="M10"/>
      <pageMargins left="0.27" right="0.2" top="0.4" bottom="0.38" header="0.3" footer="0.3"/>
      <pageSetup paperSize="8" scale="37" fitToHeight="6" orientation="portrait" verticalDpi="1200" r:id="rId25"/>
      <headerFooter alignWithMargins="0"/>
    </customSheetView>
  </customSheetViews>
  <phoneticPr fontId="28"/>
  <conditionalFormatting sqref="A2:A3 J2:J3 U3:X3 B3:I3 L2:L3 K3:S3 F4 T2:T7 U4:U7 L11:U65536 J11:J65536 T8:U10">
    <cfRule type="expression" dxfId="28" priority="59891" stopIfTrue="1">
      <formula>$U2="済"</formula>
    </cfRule>
  </conditionalFormatting>
  <conditionalFormatting sqref="X1:IV2 X11:IV62596 Y4:IV9">
    <cfRule type="expression" dxfId="27" priority="59920" stopIfTrue="1">
      <formula>$T2="済"</formula>
    </cfRule>
  </conditionalFormatting>
  <conditionalFormatting sqref="X62597:IV62733">
    <cfRule type="expression" dxfId="26" priority="59930" stopIfTrue="1">
      <formula>$T65537="済"</formula>
    </cfRule>
  </conditionalFormatting>
  <conditionalFormatting sqref="X62734:IV65536">
    <cfRule type="expression" dxfId="25" priority="59922" stopIfTrue="1">
      <formula>#REF!="済"</formula>
    </cfRule>
  </conditionalFormatting>
  <conditionalFormatting sqref="A62054:I62239 K62054:K62239 E62040:E62225">
    <cfRule type="expression" dxfId="24" priority="59918" stopIfTrue="1">
      <formula>#REF!="済"</formula>
    </cfRule>
  </conditionalFormatting>
  <conditionalFormatting sqref="A62608:I65536 K62608:K65536 E62594:E65536">
    <cfRule type="expression" dxfId="23" priority="59912" stopIfTrue="1">
      <formula>#REF!="済"</formula>
    </cfRule>
  </conditionalFormatting>
  <conditionalFormatting sqref="A62240:I62398 K62240:K62398 E62226:E62384">
    <cfRule type="expression" dxfId="22" priority="59925" stopIfTrue="1">
      <formula>#REF!="済"</formula>
    </cfRule>
  </conditionalFormatting>
  <conditionalFormatting sqref="A62399:I62406 K62399:K62406 E62385:E62392">
    <cfRule type="expression" dxfId="21" priority="59917" stopIfTrue="1">
      <formula>#REF!="済"</formula>
    </cfRule>
  </conditionalFormatting>
  <conditionalFormatting sqref="A62407:I62607 K62407:K62607 E62393:E62593">
    <cfRule type="expression" dxfId="20" priority="59927" stopIfTrue="1">
      <formula>#REF!="済"</formula>
    </cfRule>
  </conditionalFormatting>
  <conditionalFormatting sqref="Y10:IV10">
    <cfRule type="expression" dxfId="19" priority="62867" stopIfTrue="1">
      <formula>#REF!="済"</formula>
    </cfRule>
  </conditionalFormatting>
  <conditionalFormatting sqref="A4:S5 A6:K6 N6 P6:Q6 A7:B7 A9:S10 K7:S7 L8:S8">
    <cfRule type="expression" dxfId="18" priority="59928" stopIfTrue="1">
      <formula>($N4&lt;&gt;"")</formula>
    </cfRule>
  </conditionalFormatting>
  <conditionalFormatting sqref="A11:I62053 K11:K62053">
    <cfRule type="expression" dxfId="17" priority="59901" stopIfTrue="1">
      <formula>$U20="済"</formula>
    </cfRule>
  </conditionalFormatting>
  <conditionalFormatting sqref="L4:S5 N6 P6:Q6 L7:S10">
    <cfRule type="expression" dxfId="16" priority="62857" stopIfTrue="1">
      <formula>($M4&lt;&gt;"")</formula>
    </cfRule>
  </conditionalFormatting>
  <conditionalFormatting sqref="V4:W10">
    <cfRule type="expression" dxfId="15" priority="60040" stopIfTrue="1">
      <formula>OR(AND($Q4="要",$V4="済"),$Q4="否",$V4="済",AND($N4&lt;&gt;"",OR($Q4="否",$Q4=""),OR($V4="反映不要",$V4="")))</formula>
    </cfRule>
    <cfRule type="expression" dxfId="14" priority="60041" stopIfTrue="1">
      <formula>($Q4="要")</formula>
    </cfRule>
  </conditionalFormatting>
  <conditionalFormatting sqref="X4:X10">
    <cfRule type="expression" dxfId="13" priority="61470" stopIfTrue="1">
      <formula>OR(AND($Q4&lt;&gt;"要",$X4&lt;&gt;""),$Q4="要")</formula>
    </cfRule>
    <cfRule type="expression" dxfId="12" priority="61471" stopIfTrue="1">
      <formula>AND($Q4&lt;&gt;"要",$X4="")</formula>
    </cfRule>
  </conditionalFormatting>
  <conditionalFormatting sqref="Y3:IV3">
    <cfRule type="expression" dxfId="11" priority="10707" stopIfTrue="1">
      <formula>#REF!="済"</formula>
    </cfRule>
  </conditionalFormatting>
  <conditionalFormatting sqref="L6:M6">
    <cfRule type="expression" dxfId="10" priority="9" stopIfTrue="1">
      <formula>($N6&lt;&gt;"")</formula>
    </cfRule>
  </conditionalFormatting>
  <conditionalFormatting sqref="O6">
    <cfRule type="expression" dxfId="9" priority="8" stopIfTrue="1">
      <formula>($N6&lt;&gt;"")</formula>
    </cfRule>
  </conditionalFormatting>
  <conditionalFormatting sqref="R6:S6">
    <cfRule type="expression" dxfId="8" priority="7" stopIfTrue="1">
      <formula>($N6&lt;&gt;"")</formula>
    </cfRule>
  </conditionalFormatting>
  <conditionalFormatting sqref="C7">
    <cfRule type="expression" dxfId="7" priority="62869" stopIfTrue="1">
      <formula>($N7&lt;&gt;"")</formula>
    </cfRule>
  </conditionalFormatting>
  <conditionalFormatting sqref="D7:E7 H7:J7">
    <cfRule type="expression" dxfId="6" priority="62871" stopIfTrue="1">
      <formula>($N8&lt;&gt;"")</formula>
    </cfRule>
  </conditionalFormatting>
  <conditionalFormatting sqref="G7">
    <cfRule type="expression" dxfId="5" priority="6" stopIfTrue="1">
      <formula>($N7&lt;&gt;"")</formula>
    </cfRule>
  </conditionalFormatting>
  <conditionalFormatting sqref="F7">
    <cfRule type="expression" dxfId="4" priority="5" stopIfTrue="1">
      <formula>($N7&lt;&gt;"")</formula>
    </cfRule>
  </conditionalFormatting>
  <conditionalFormatting sqref="H8:I8 K8 A8:E8">
    <cfRule type="expression" dxfId="3" priority="3" stopIfTrue="1">
      <formula>($N8&lt;&gt;"")</formula>
    </cfRule>
  </conditionalFormatting>
  <conditionalFormatting sqref="J8">
    <cfRule type="expression" dxfId="2" priority="4" stopIfTrue="1">
      <formula>($N9&lt;&gt;"")</formula>
    </cfRule>
  </conditionalFormatting>
  <conditionalFormatting sqref="G8">
    <cfRule type="expression" dxfId="1" priority="2" stopIfTrue="1">
      <formula>($N8&lt;&gt;"")</formula>
    </cfRule>
  </conditionalFormatting>
  <conditionalFormatting sqref="F8">
    <cfRule type="expression" dxfId="0" priority="1" stopIfTrue="1">
      <formula>($N8&lt;&gt;"")</formula>
    </cfRule>
  </conditionalFormatting>
  <dataValidations count="6">
    <dataValidation allowBlank="1" sqref="B4:B10" xr:uid="{00000000-0002-0000-0200-000000000000}"/>
    <dataValidation type="list" allowBlank="1" showInputMessage="1" showErrorMessage="1" sqref="V4:V10" xr:uid="{00000000-0002-0000-0200-000001000000}">
      <formula1>"反映不要,未反映,済"</formula1>
    </dataValidation>
    <dataValidation type="list" allowBlank="1" showInputMessage="1" showErrorMessage="1" sqref="Q4:Q10" xr:uid="{00000000-0002-0000-0200-000002000000}">
      <formula1>"要,否"</formula1>
    </dataValidation>
    <dataValidation type="list" allowBlank="1" showInputMessage="1" showErrorMessage="1" sqref="X4:X10" xr:uid="{00000000-0002-0000-0200-000003000000}">
      <formula1>"仕様変更,資料不備,仕様不明確,理解不足,確認事項"</formula1>
    </dataValidation>
    <dataValidation type="list" showInputMessage="1" showErrorMessage="1" sqref="U3:U65536" xr:uid="{00000000-0002-0000-0200-000004000000}">
      <formula1>",済"</formula1>
    </dataValidation>
    <dataValidation type="list" allowBlank="1" showInputMessage="1" showErrorMessage="1" sqref="J2" xr:uid="{00000000-0002-0000-0200-000005000000}">
      <formula1>"至急,一般"</formula1>
    </dataValidation>
  </dataValidations>
  <pageMargins left="0.27" right="0.2" top="0.4" bottom="0.38" header="0.3" footer="0.3"/>
  <pageSetup paperSize="8" fitToHeight="6" orientation="landscape" verticalDpi="1200" r:id="rId2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6</vt:i4>
      </vt:variant>
    </vt:vector>
  </HeadingPairs>
  <TitlesOfParts>
    <vt:vector size="9" baseType="lpstr">
      <vt:lpstr>統計結果</vt:lpstr>
      <vt:lpstr>分析一覧</vt:lpstr>
      <vt:lpstr>QA管理一覧表</vt:lpstr>
      <vt:lpstr>QA管理一覧表!Print_Area</vt:lpstr>
      <vt:lpstr>QA管理一覧表!Print_Titles</vt:lpstr>
      <vt:lpstr>QA</vt:lpstr>
      <vt:lpstr>統計結果!パス0</vt:lpstr>
      <vt:lpstr>統計結果!パス1</vt:lpstr>
      <vt:lpstr>統計結果!行補正</vt:lpstr>
    </vt:vector>
  </TitlesOfParts>
  <Company>みずほ情報総研株式会社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社内システム</dc:creator>
  <cp:lastModifiedBy>ami</cp:lastModifiedBy>
  <cp:lastPrinted>2013-06-20T09:21:52Z</cp:lastPrinted>
  <dcterms:created xsi:type="dcterms:W3CDTF">2009-03-13T12:52:04Z</dcterms:created>
  <dcterms:modified xsi:type="dcterms:W3CDTF">2023-05-12T00:41:19Z</dcterms:modified>
</cp:coreProperties>
</file>